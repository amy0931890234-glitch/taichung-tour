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AI\"/>
    </mc:Choice>
  </mc:AlternateContent>
  <xr:revisionPtr revIDLastSave="0" documentId="8_{434A197C-97F1-4A1E-8B54-43B7DACAB7B2}" xr6:coauthVersionLast="47" xr6:coauthVersionMax="47" xr10:uidLastSave="{00000000-0000-0000-0000-000000000000}"/>
  <bookViews>
    <workbookView xWindow="1740" yWindow="0" windowWidth="9600" windowHeight="10200" firstSheet="3" activeTab="4" xr2:uid="{00000000-000D-0000-FFFF-FFFF00000000}"/>
  </bookViews>
  <sheets>
    <sheet name="07月報告" sheetId="1" r:id="rId1"/>
    <sheet name="毛利表" sheetId="12" r:id="rId2"/>
    <sheet name="物料" sheetId="13" r:id="rId3"/>
    <sheet name="銷售漏斗" sheetId="7" r:id="rId4"/>
    <sheet name="樞紐分析與動態篩選" sheetId="14" r:id="rId5"/>
  </sheets>
  <externalReferences>
    <externalReference r:id="rId6"/>
  </externalReferences>
  <definedNames>
    <definedName name="Slicer_型態別">#N/A</definedName>
    <definedName name="Slicer_型態別1">#N/A</definedName>
  </definedNames>
  <calcPr calcId="191029"/>
  <pivotCaches>
    <pivotCache cacheId="0" r:id="rId7"/>
    <pivotCache cacheId="6" r:id="rId8"/>
  </pivotCaches>
  <fileRecoveryPr autoRecover="0"/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0"/>
      </x15:slicerCaches>
    </ext>
  </extLst>
</workbook>
</file>

<file path=xl/calcChain.xml><?xml version="1.0" encoding="utf-8"?>
<calcChain xmlns="http://schemas.openxmlformats.org/spreadsheetml/2006/main">
  <c r="E34" i="13" l="1"/>
  <c r="E33" i="13"/>
  <c r="E35" i="13" s="1"/>
  <c r="E32" i="13"/>
  <c r="E75" i="12"/>
  <c r="E76" i="12" s="1"/>
  <c r="D75" i="12"/>
  <c r="E74" i="12"/>
  <c r="E73" i="12"/>
  <c r="D73" i="12"/>
  <c r="F73" i="12" s="1"/>
  <c r="G73" i="12" s="1"/>
  <c r="G72" i="12"/>
  <c r="F72" i="12"/>
  <c r="F71" i="12"/>
  <c r="G71" i="12" s="1"/>
  <c r="F70" i="12"/>
  <c r="G70" i="12" s="1"/>
  <c r="G69" i="12"/>
  <c r="F69" i="12"/>
  <c r="B69" i="12"/>
  <c r="F68" i="12"/>
  <c r="G68" i="12" s="1"/>
  <c r="F67" i="12"/>
  <c r="G67" i="12" s="1"/>
  <c r="F66" i="12"/>
  <c r="G66" i="12" s="1"/>
  <c r="B66" i="12"/>
  <c r="F65" i="12"/>
  <c r="G65" i="12" s="1"/>
  <c r="G64" i="12"/>
  <c r="F64" i="12"/>
  <c r="G63" i="12"/>
  <c r="F63" i="12"/>
  <c r="F62" i="12"/>
  <c r="G62" i="12" s="1"/>
  <c r="F61" i="12"/>
  <c r="G61" i="12" s="1"/>
  <c r="F60" i="12"/>
  <c r="G60" i="12" s="1"/>
  <c r="B60" i="12"/>
  <c r="B61" i="12" s="1"/>
  <c r="B62" i="12" s="1"/>
  <c r="F59" i="12"/>
  <c r="G59" i="12" s="1"/>
  <c r="F58" i="12"/>
  <c r="G58" i="12" s="1"/>
  <c r="F57" i="12"/>
  <c r="G57" i="12" s="1"/>
  <c r="F56" i="12"/>
  <c r="G56" i="12" s="1"/>
  <c r="F55" i="12"/>
  <c r="G55" i="12" s="1"/>
  <c r="F54" i="12"/>
  <c r="G54" i="12" s="1"/>
  <c r="F53" i="12"/>
  <c r="G53" i="12" s="1"/>
  <c r="F52" i="12"/>
  <c r="G52" i="12" s="1"/>
  <c r="F51" i="12"/>
  <c r="G51" i="12" s="1"/>
  <c r="F50" i="12"/>
  <c r="G50" i="12" s="1"/>
  <c r="F49" i="12"/>
  <c r="G49" i="12" s="1"/>
  <c r="F48" i="12"/>
  <c r="G48" i="12" s="1"/>
  <c r="F47" i="12"/>
  <c r="G47" i="12" s="1"/>
  <c r="F46" i="12"/>
  <c r="G46" i="12" s="1"/>
  <c r="F45" i="12"/>
  <c r="G45" i="12" s="1"/>
  <c r="F44" i="12"/>
  <c r="G44" i="12" s="1"/>
  <c r="B44" i="12"/>
  <c r="F43" i="12"/>
  <c r="G43" i="12" s="1"/>
  <c r="G42" i="12"/>
  <c r="F42" i="12"/>
  <c r="G41" i="12"/>
  <c r="F41" i="12"/>
  <c r="F40" i="12"/>
  <c r="G40" i="12" s="1"/>
  <c r="G39" i="12"/>
  <c r="F39" i="12"/>
  <c r="F38" i="12"/>
  <c r="G38" i="12" s="1"/>
  <c r="F37" i="12"/>
  <c r="G37" i="12" s="1"/>
  <c r="G36" i="12"/>
  <c r="F36" i="12"/>
  <c r="G35" i="12"/>
  <c r="F35" i="12"/>
  <c r="F34" i="12"/>
  <c r="G34" i="12" s="1"/>
  <c r="G33" i="12"/>
  <c r="F33" i="12"/>
  <c r="F32" i="12"/>
  <c r="G32" i="12" s="1"/>
  <c r="F31" i="12"/>
  <c r="G31" i="12" s="1"/>
  <c r="G30" i="12"/>
  <c r="F30" i="12"/>
  <c r="G29" i="12"/>
  <c r="F29" i="12"/>
  <c r="F28" i="12"/>
  <c r="G28" i="12" s="1"/>
  <c r="G27" i="12"/>
  <c r="F27" i="12"/>
  <c r="F26" i="12"/>
  <c r="G26" i="12" s="1"/>
  <c r="F25" i="12"/>
  <c r="G25" i="12" s="1"/>
  <c r="B25" i="12"/>
  <c r="F24" i="12"/>
  <c r="G24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D10" i="12"/>
  <c r="E9" i="12"/>
  <c r="E8" i="12"/>
  <c r="F8" i="12" s="1"/>
  <c r="G8" i="12" s="1"/>
  <c r="D8" i="12"/>
  <c r="F7" i="12"/>
  <c r="G7" i="12" s="1"/>
  <c r="F6" i="12"/>
  <c r="G6" i="12" s="1"/>
  <c r="E10" i="12" l="1"/>
  <c r="F10" i="12" s="1"/>
  <c r="G10" i="12" s="1"/>
  <c r="D76" i="12"/>
  <c r="I49" i="1"/>
  <c r="I52" i="1"/>
  <c r="I50" i="1"/>
  <c r="I51" i="1"/>
  <c r="I41" i="1"/>
  <c r="I42" i="1"/>
  <c r="I43" i="1"/>
  <c r="I44" i="1"/>
  <c r="I45" i="1"/>
  <c r="I46" i="1"/>
  <c r="I47" i="1"/>
  <c r="I48" i="1"/>
  <c r="D77" i="12" l="1"/>
  <c r="F76" i="12"/>
  <c r="G76" i="12" s="1"/>
  <c r="E77" i="12"/>
  <c r="I40" i="1"/>
  <c r="F77" i="12" l="1"/>
  <c r="G77" i="12" s="1"/>
  <c r="I53" i="1"/>
</calcChain>
</file>

<file path=xl/sharedStrings.xml><?xml version="1.0" encoding="utf-8"?>
<sst xmlns="http://schemas.openxmlformats.org/spreadsheetml/2006/main" count="947" uniqueCount="615">
  <si>
    <r>
      <rPr>
        <b/>
        <sz val="16"/>
        <rFont val="標楷體"/>
        <family val="4"/>
        <charset val="136"/>
      </rPr>
      <t>統計項目</t>
    </r>
  </si>
  <si>
    <r>
      <rPr>
        <b/>
        <sz val="16"/>
        <rFont val="標楷體"/>
        <family val="4"/>
        <charset val="136"/>
      </rPr>
      <t>未稅銷貨淨額</t>
    </r>
  </si>
  <si>
    <r>
      <rPr>
        <b/>
        <sz val="16"/>
        <rFont val="標楷體"/>
        <family val="4"/>
        <charset val="136"/>
      </rPr>
      <t>毛利金額</t>
    </r>
  </si>
  <si>
    <r>
      <rPr>
        <b/>
        <sz val="16"/>
        <rFont val="標楷體"/>
        <family val="4"/>
        <charset val="136"/>
      </rPr>
      <t>毛利率</t>
    </r>
  </si>
  <si>
    <r>
      <rPr>
        <b/>
        <sz val="16"/>
        <rFont val="標楷體"/>
        <family val="4"/>
        <charset val="136"/>
      </rPr>
      <t>零件銷售</t>
    </r>
  </si>
  <si>
    <r>
      <rPr>
        <b/>
        <sz val="16"/>
        <rFont val="標楷體"/>
        <family val="4"/>
        <charset val="136"/>
      </rPr>
      <t>機台銷售</t>
    </r>
  </si>
  <si>
    <r>
      <rPr>
        <b/>
        <sz val="16"/>
        <rFont val="標楷體"/>
        <family val="4"/>
        <charset val="136"/>
      </rPr>
      <t>合計</t>
    </r>
  </si>
  <si>
    <r>
      <rPr>
        <b/>
        <sz val="18"/>
        <rFont val="標楷體"/>
        <family val="4"/>
        <charset val="136"/>
      </rPr>
      <t>貳、分類統計：</t>
    </r>
    <r>
      <rPr>
        <b/>
        <sz val="18"/>
        <rFont val="Calibri"/>
        <family val="2"/>
      </rPr>
      <t xml:space="preserve"> </t>
    </r>
  </si>
  <si>
    <r>
      <rPr>
        <b/>
        <sz val="16"/>
        <rFont val="標楷體"/>
        <family val="4"/>
        <charset val="136"/>
      </rPr>
      <t>分類項目</t>
    </r>
  </si>
  <si>
    <r>
      <rPr>
        <b/>
        <sz val="16"/>
        <rFont val="標楷體"/>
        <family val="4"/>
        <charset val="136"/>
      </rPr>
      <t>佔比</t>
    </r>
  </si>
  <si>
    <r>
      <rPr>
        <b/>
        <sz val="16"/>
        <rFont val="標楷體"/>
        <family val="4"/>
        <charset val="136"/>
      </rPr>
      <t>客戶名稱</t>
    </r>
  </si>
  <si>
    <r>
      <rPr>
        <b/>
        <sz val="16"/>
        <rFont val="標楷體"/>
        <family val="4"/>
        <charset val="136"/>
      </rPr>
      <t>分類</t>
    </r>
  </si>
  <si>
    <r>
      <rPr>
        <b/>
        <sz val="16"/>
        <rFont val="標楷體"/>
        <family val="4"/>
        <charset val="136"/>
      </rPr>
      <t>銷售機型</t>
    </r>
  </si>
  <si>
    <r>
      <rPr>
        <b/>
        <sz val="16"/>
        <rFont val="標楷體"/>
        <family val="4"/>
        <charset val="136"/>
      </rPr>
      <t>套數</t>
    </r>
  </si>
  <si>
    <r>
      <rPr>
        <b/>
        <sz val="16"/>
        <rFont val="標楷體"/>
        <family val="4"/>
        <charset val="136"/>
      </rPr>
      <t>未稅銷售額</t>
    </r>
  </si>
  <si>
    <r>
      <rPr>
        <b/>
        <sz val="14"/>
        <rFont val="標楷體"/>
        <family val="4"/>
        <charset val="136"/>
      </rPr>
      <t>客戶名稱</t>
    </r>
  </si>
  <si>
    <r>
      <rPr>
        <b/>
        <sz val="14"/>
        <rFont val="標楷體"/>
        <family val="4"/>
        <charset val="136"/>
      </rPr>
      <t>分類</t>
    </r>
  </si>
  <si>
    <t>諾達股份有限公司</t>
    <phoneticPr fontId="5" type="noConversion"/>
  </si>
  <si>
    <t>生產線建置</t>
    <phoneticPr fontId="22" type="noConversion"/>
  </si>
  <si>
    <t>銷售金額</t>
    <phoneticPr fontId="5" type="noConversion"/>
  </si>
  <si>
    <r>
      <t>伍、</t>
    </r>
    <r>
      <rPr>
        <b/>
        <sz val="18"/>
        <rFont val="Calibri"/>
        <family val="2"/>
      </rPr>
      <t xml:space="preserve">UV </t>
    </r>
    <r>
      <rPr>
        <b/>
        <sz val="18"/>
        <rFont val="標楷體"/>
        <family val="4"/>
        <charset val="136"/>
      </rPr>
      <t>專案客戶說明：</t>
    </r>
    <r>
      <rPr>
        <b/>
        <sz val="18"/>
        <rFont val="Calibri"/>
        <family val="2"/>
      </rPr>
      <t xml:space="preserve"> </t>
    </r>
    <r>
      <rPr>
        <b/>
        <sz val="12"/>
        <rFont val="Calibri"/>
        <family val="2"/>
      </rPr>
      <t xml:space="preserve">            </t>
    </r>
    <phoneticPr fontId="5" type="noConversion"/>
  </si>
  <si>
    <t>採購日期</t>
    <phoneticPr fontId="22" type="noConversion"/>
  </si>
  <si>
    <t>權重</t>
    <phoneticPr fontId="22" type="noConversion"/>
  </si>
  <si>
    <r>
      <t>陸、</t>
    </r>
    <r>
      <rPr>
        <b/>
        <sz val="18"/>
        <rFont val="Calibri"/>
        <family val="2"/>
      </rPr>
      <t xml:space="preserve">2K </t>
    </r>
    <r>
      <rPr>
        <b/>
        <sz val="18"/>
        <rFont val="標楷體"/>
        <family val="4"/>
        <charset val="136"/>
      </rPr>
      <t>專案客戶說明：</t>
    </r>
    <r>
      <rPr>
        <b/>
        <sz val="18"/>
        <rFont val="Calibri"/>
        <family val="2"/>
      </rPr>
      <t xml:space="preserve"> </t>
    </r>
    <r>
      <rPr>
        <b/>
        <sz val="12"/>
        <rFont val="Calibri"/>
        <family val="2"/>
      </rPr>
      <t xml:space="preserve">            </t>
    </r>
    <phoneticPr fontId="5" type="noConversion"/>
  </si>
  <si>
    <t>客戶名稱</t>
    <phoneticPr fontId="5" type="noConversion"/>
  </si>
  <si>
    <t>報價提供</t>
    <phoneticPr fontId="22" type="noConversion"/>
  </si>
  <si>
    <t>專案設定</t>
    <phoneticPr fontId="22" type="noConversion"/>
  </si>
  <si>
    <t>設備需求日</t>
    <phoneticPr fontId="22" type="noConversion"/>
  </si>
  <si>
    <t>出貨日期</t>
    <phoneticPr fontId="22" type="noConversion"/>
  </si>
  <si>
    <t>競爭者</t>
    <phoneticPr fontId="5" type="noConversion"/>
  </si>
  <si>
    <t>百分比</t>
    <phoneticPr fontId="22" type="noConversion"/>
  </si>
  <si>
    <r>
      <rPr>
        <b/>
        <sz val="18"/>
        <rFont val="標楷體"/>
        <family val="4"/>
        <charset val="136"/>
      </rPr>
      <t>柒、紅色業務說明：</t>
    </r>
    <phoneticPr fontId="5" type="noConversion"/>
  </si>
  <si>
    <r>
      <rPr>
        <b/>
        <sz val="18"/>
        <rFont val="標楷體"/>
        <family val="4"/>
        <charset val="136"/>
      </rPr>
      <t>捌、本土製零件品質管制狀況：</t>
    </r>
    <phoneticPr fontId="5" type="noConversion"/>
  </si>
  <si>
    <r>
      <rPr>
        <b/>
        <sz val="18"/>
        <rFont val="標楷體"/>
        <family val="4"/>
        <charset val="136"/>
      </rPr>
      <t>玖、新應用例發展報告：</t>
    </r>
    <phoneticPr fontId="5" type="noConversion"/>
  </si>
  <si>
    <r>
      <rPr>
        <b/>
        <sz val="18"/>
        <rFont val="標楷體"/>
        <family val="4"/>
        <charset val="136"/>
      </rPr>
      <t>拾、區域動態：</t>
    </r>
    <r>
      <rPr>
        <b/>
        <sz val="14"/>
        <rFont val="Calibri"/>
        <family val="2"/>
      </rPr>
      <t>(</t>
    </r>
    <r>
      <rPr>
        <b/>
        <sz val="14"/>
        <rFont val="標楷體"/>
        <family val="4"/>
        <charset val="136"/>
      </rPr>
      <t>客戶動態、市場情報、技術支援、其他建議</t>
    </r>
    <r>
      <rPr>
        <b/>
        <sz val="14"/>
        <rFont val="Calibri"/>
        <family val="2"/>
      </rPr>
      <t>….)</t>
    </r>
    <phoneticPr fontId="5" type="noConversion"/>
  </si>
  <si>
    <r>
      <rPr>
        <b/>
        <sz val="14"/>
        <rFont val="標楷體"/>
        <family val="4"/>
        <charset val="136"/>
      </rPr>
      <t xml:space="preserve">註※：請參閱伺服器報價單。
</t>
    </r>
    <r>
      <rPr>
        <b/>
        <sz val="14"/>
        <rFont val="Calibri"/>
        <family val="2"/>
      </rPr>
      <t xml:space="preserve">      </t>
    </r>
    <r>
      <rPr>
        <b/>
        <sz val="14"/>
        <color indexed="10"/>
        <rFont val="標楷體"/>
        <family val="4"/>
        <charset val="136"/>
      </rPr>
      <t>紅色</t>
    </r>
    <r>
      <rPr>
        <b/>
        <sz val="14"/>
        <rFont val="標楷體"/>
        <family val="4"/>
        <charset val="136"/>
      </rPr>
      <t xml:space="preserve">為競爭案子或已向競爭者採購，請參閱紅色業務說明。
</t>
    </r>
    <r>
      <rPr>
        <b/>
        <sz val="14"/>
        <rFont val="Calibri"/>
        <family val="2"/>
      </rPr>
      <t xml:space="preserve">      </t>
    </r>
    <r>
      <rPr>
        <b/>
        <sz val="14"/>
        <color indexed="12"/>
        <rFont val="標楷體"/>
        <family val="4"/>
        <charset val="136"/>
      </rPr>
      <t>藍色</t>
    </r>
    <r>
      <rPr>
        <b/>
        <sz val="14"/>
        <rFont val="標楷體"/>
        <family val="4"/>
        <charset val="136"/>
      </rPr>
      <t xml:space="preserve">代表我方已取得訂單。
</t>
    </r>
    <r>
      <rPr>
        <b/>
        <sz val="14"/>
        <rFont val="Calibri"/>
        <family val="2"/>
      </rPr>
      <t xml:space="preserve">      </t>
    </r>
    <r>
      <rPr>
        <b/>
        <sz val="14"/>
        <rFont val="標楷體"/>
        <family val="4"/>
        <charset val="136"/>
      </rPr>
      <t>黑色則是未定案或不採購。</t>
    </r>
    <phoneticPr fontId="5" type="noConversion"/>
  </si>
  <si>
    <t>***</t>
    <phoneticPr fontId="22" type="noConversion"/>
  </si>
  <si>
    <t>SF-703</t>
    <phoneticPr fontId="22" type="noConversion"/>
  </si>
  <si>
    <t>VA25</t>
    <phoneticPr fontId="22" type="noConversion"/>
  </si>
  <si>
    <t>E</t>
    <phoneticPr fontId="22" type="noConversion"/>
  </si>
  <si>
    <t>車燈</t>
    <phoneticPr fontId="22" type="noConversion"/>
  </si>
  <si>
    <t>階段</t>
    <phoneticPr fontId="22" type="noConversion"/>
  </si>
  <si>
    <t>銷售漏斗項目</t>
    <phoneticPr fontId="5" type="noConversion"/>
  </si>
  <si>
    <t>電話或信件初次接觸</t>
    <phoneticPr fontId="44" type="noConversion"/>
  </si>
  <si>
    <t>面談</t>
    <phoneticPr fontId="44" type="noConversion"/>
  </si>
  <si>
    <t>簡易規劃及報價</t>
    <phoneticPr fontId="44" type="noConversion"/>
  </si>
  <si>
    <t>測試</t>
    <phoneticPr fontId="44" type="noConversion"/>
  </si>
  <si>
    <t>詳細規劃及報價</t>
    <phoneticPr fontId="44" type="noConversion"/>
  </si>
  <si>
    <t>議價</t>
    <phoneticPr fontId="44" type="noConversion"/>
  </si>
  <si>
    <t>成交</t>
    <phoneticPr fontId="44" type="noConversion"/>
  </si>
  <si>
    <t>暫停</t>
    <phoneticPr fontId="5" type="noConversion"/>
  </si>
  <si>
    <t>電話或信件初次接觸</t>
  </si>
  <si>
    <t>簡易規劃及報價</t>
  </si>
  <si>
    <t>議價</t>
  </si>
  <si>
    <t>成交</t>
  </si>
  <si>
    <t>詳細規劃及報價</t>
  </si>
  <si>
    <t>Magtonic</t>
  </si>
  <si>
    <t>加總 - 報價金額</t>
  </si>
  <si>
    <t>總計</t>
  </si>
  <si>
    <t>中止</t>
    <phoneticPr fontId="5" type="noConversion"/>
  </si>
  <si>
    <t>流失</t>
    <phoneticPr fontId="5" type="noConversion"/>
  </si>
  <si>
    <t>PPC</t>
    <phoneticPr fontId="5" type="noConversion"/>
  </si>
  <si>
    <t>SG-194</t>
  </si>
  <si>
    <t>2K</t>
  </si>
  <si>
    <t>E</t>
  </si>
  <si>
    <t>SG-101</t>
  </si>
  <si>
    <r>
      <rPr>
        <b/>
        <sz val="14"/>
        <rFont val="標楷體"/>
        <family val="4"/>
        <charset val="136"/>
      </rPr>
      <t>報單字號</t>
    </r>
  </si>
  <si>
    <r>
      <rPr>
        <b/>
        <sz val="14"/>
        <rFont val="標楷體"/>
        <family val="4"/>
        <charset val="136"/>
      </rPr>
      <t>推薦機型</t>
    </r>
  </si>
  <si>
    <r>
      <rPr>
        <b/>
        <sz val="14"/>
        <rFont val="標楷體"/>
        <family val="4"/>
        <charset val="136"/>
      </rPr>
      <t>套數</t>
    </r>
  </si>
  <si>
    <r>
      <rPr>
        <b/>
        <sz val="14"/>
        <rFont val="標楷體"/>
        <family val="4"/>
        <charset val="136"/>
      </rPr>
      <t>報價金額</t>
    </r>
  </si>
  <si>
    <r>
      <rPr>
        <b/>
        <sz val="14"/>
        <rFont val="標楷體"/>
        <family val="4"/>
        <charset val="136"/>
      </rPr>
      <t>結案日期</t>
    </r>
    <phoneticPr fontId="22" type="noConversion"/>
  </si>
  <si>
    <r>
      <rPr>
        <b/>
        <sz val="14"/>
        <rFont val="標楷體"/>
        <family val="4"/>
        <charset val="136"/>
      </rPr>
      <t>百分比</t>
    </r>
    <phoneticPr fontId="5" type="noConversion"/>
  </si>
  <si>
    <r>
      <rPr>
        <b/>
        <sz val="14"/>
        <rFont val="標楷體"/>
        <family val="4"/>
        <charset val="136"/>
      </rPr>
      <t>階段</t>
    </r>
  </si>
  <si>
    <r>
      <rPr>
        <b/>
        <sz val="14"/>
        <rFont val="標楷體"/>
        <family val="4"/>
        <charset val="136"/>
      </rPr>
      <t>應用例</t>
    </r>
  </si>
  <si>
    <r>
      <rPr>
        <b/>
        <sz val="14"/>
        <rFont val="標楷體"/>
        <family val="4"/>
        <charset val="136"/>
      </rPr>
      <t>說明</t>
    </r>
    <phoneticPr fontId="5" type="noConversion"/>
  </si>
  <si>
    <r>
      <rPr>
        <b/>
        <sz val="14"/>
        <rFont val="標楷體"/>
        <family val="4"/>
        <charset val="136"/>
      </rPr>
      <t>議價</t>
    </r>
  </si>
  <si>
    <r>
      <rPr>
        <b/>
        <sz val="14"/>
        <color rgb="FF0000FF"/>
        <rFont val="標楷體"/>
        <family val="4"/>
        <charset val="136"/>
      </rPr>
      <t>成交</t>
    </r>
  </si>
  <si>
    <r>
      <rPr>
        <b/>
        <sz val="14"/>
        <rFont val="標楷體"/>
        <family val="4"/>
        <charset val="136"/>
      </rPr>
      <t>詳細規劃及報價</t>
    </r>
  </si>
  <si>
    <r>
      <rPr>
        <b/>
        <sz val="14"/>
        <rFont val="標楷體"/>
        <family val="4"/>
        <charset val="136"/>
      </rPr>
      <t>客戶名稱</t>
    </r>
    <r>
      <rPr>
        <b/>
        <sz val="14"/>
        <rFont val="Calibri"/>
        <family val="2"/>
      </rPr>
      <t>(</t>
    </r>
    <r>
      <rPr>
        <b/>
        <sz val="14"/>
        <rFont val="標楷體"/>
        <family val="4"/>
        <charset val="136"/>
      </rPr>
      <t>英文</t>
    </r>
    <r>
      <rPr>
        <b/>
        <sz val="14"/>
        <rFont val="Calibri"/>
        <family val="2"/>
      </rPr>
      <t>)</t>
    </r>
    <phoneticPr fontId="22" type="noConversion"/>
  </si>
  <si>
    <r>
      <rPr>
        <b/>
        <sz val="14"/>
        <rFont val="標楷體"/>
        <family val="4"/>
        <charset val="136"/>
      </rPr>
      <t>應用例備註</t>
    </r>
    <phoneticPr fontId="5" type="noConversion"/>
  </si>
  <si>
    <t>TYC</t>
    <phoneticPr fontId="22" type="noConversion"/>
  </si>
  <si>
    <t>階段</t>
    <phoneticPr fontId="22" type="noConversion"/>
  </si>
  <si>
    <t>百分比</t>
    <phoneticPr fontId="22" type="noConversion"/>
  </si>
  <si>
    <t>電話或信件初次接觸</t>
    <phoneticPr fontId="44" type="noConversion"/>
  </si>
  <si>
    <r>
      <rPr>
        <b/>
        <sz val="18"/>
        <rFont val="標楷體"/>
        <family val="4"/>
        <charset val="136"/>
      </rPr>
      <t>肆、潛在客戶說明：</t>
    </r>
    <r>
      <rPr>
        <b/>
        <sz val="18"/>
        <rFont val="Calibri"/>
        <family val="2"/>
      </rPr>
      <t xml:space="preserve"> </t>
    </r>
    <r>
      <rPr>
        <b/>
        <sz val="12"/>
        <rFont val="Calibri"/>
        <family val="2"/>
      </rPr>
      <t xml:space="preserve">            </t>
    </r>
    <r>
      <rPr>
        <b/>
        <sz val="14"/>
        <rFont val="標楷體"/>
        <family val="4"/>
        <charset val="136"/>
      </rPr>
      <t>分類代號：</t>
    </r>
    <r>
      <rPr>
        <b/>
        <sz val="14"/>
        <rFont val="Calibri"/>
        <family val="2"/>
      </rPr>
      <t xml:space="preserve">O-O.E.M,E-END USER,A-ADHESIVES, </t>
    </r>
    <r>
      <rPr>
        <b/>
        <sz val="14"/>
        <color indexed="62"/>
        <rFont val="Calibri"/>
        <family val="2"/>
      </rPr>
      <t xml:space="preserve"> S-SPI , T-Trade in</t>
    </r>
    <phoneticPr fontId="5" type="noConversion"/>
  </si>
  <si>
    <t>T</t>
    <phoneticPr fontId="22" type="noConversion"/>
  </si>
  <si>
    <r>
      <rPr>
        <b/>
        <sz val="18"/>
        <rFont val="標楷體"/>
        <family val="4"/>
        <charset val="136"/>
      </rPr>
      <t>壹、銷售統計：</t>
    </r>
    <phoneticPr fontId="5" type="noConversion"/>
  </si>
  <si>
    <r>
      <rPr>
        <b/>
        <sz val="16"/>
        <rFont val="標楷體"/>
        <family val="4"/>
        <charset val="136"/>
      </rPr>
      <t>銷貨成本</t>
    </r>
    <phoneticPr fontId="5" type="noConversion"/>
  </si>
  <si>
    <t>T/T or L/C</t>
    <phoneticPr fontId="5" type="noConversion"/>
  </si>
  <si>
    <t>備註：</t>
    <phoneticPr fontId="5" type="noConversion"/>
  </si>
  <si>
    <r>
      <rPr>
        <b/>
        <sz val="16"/>
        <rFont val="標楷體"/>
        <family val="4"/>
        <charset val="136"/>
      </rPr>
      <t>總</t>
    </r>
    <r>
      <rPr>
        <b/>
        <sz val="14"/>
        <rFont val="Calibri"/>
        <family val="2"/>
      </rPr>
      <t xml:space="preserve">  </t>
    </r>
    <r>
      <rPr>
        <b/>
        <sz val="14"/>
        <rFont val="標楷體"/>
        <family val="4"/>
        <charset val="136"/>
      </rPr>
      <t>計</t>
    </r>
    <phoneticPr fontId="5" type="noConversion"/>
  </si>
  <si>
    <r>
      <rPr>
        <b/>
        <sz val="18"/>
        <rFont val="標楷體"/>
        <family val="4"/>
        <charset val="136"/>
      </rPr>
      <t>參、機台銷售說明：</t>
    </r>
    <r>
      <rPr>
        <b/>
        <sz val="12"/>
        <rFont val="Calibri"/>
        <family val="2"/>
      </rPr>
      <t xml:space="preserve">              </t>
    </r>
    <r>
      <rPr>
        <b/>
        <sz val="14"/>
        <rFont val="Calibri"/>
        <family val="2"/>
      </rPr>
      <t xml:space="preserve"> </t>
    </r>
    <r>
      <rPr>
        <b/>
        <sz val="14"/>
        <rFont val="標楷體"/>
        <family val="4"/>
        <charset val="136"/>
      </rPr>
      <t>分類代號：</t>
    </r>
    <r>
      <rPr>
        <b/>
        <sz val="14"/>
        <rFont val="Calibri"/>
        <family val="2"/>
      </rPr>
      <t>O-O.E.M,E-END USER,A-ADHESIVES,  S-SPI , T-Trade in</t>
    </r>
    <phoneticPr fontId="5" type="noConversion"/>
  </si>
  <si>
    <r>
      <rPr>
        <b/>
        <sz val="16"/>
        <rFont val="標楷體"/>
        <family val="4"/>
        <charset val="136"/>
      </rPr>
      <t>交貨日期</t>
    </r>
    <phoneticPr fontId="5" type="noConversion"/>
  </si>
  <si>
    <t>應用例</t>
    <phoneticPr fontId="5" type="noConversion"/>
  </si>
  <si>
    <t>備註</t>
    <phoneticPr fontId="5" type="noConversion"/>
  </si>
  <si>
    <t>堤維西</t>
    <phoneticPr fontId="22" type="noConversion"/>
  </si>
  <si>
    <t>VA25</t>
    <phoneticPr fontId="22" type="noConversion"/>
  </si>
  <si>
    <t>TYC</t>
    <phoneticPr fontId="22" type="noConversion"/>
  </si>
  <si>
    <t>明安</t>
    <phoneticPr fontId="22" type="noConversion"/>
  </si>
  <si>
    <t>AP20</t>
    <phoneticPr fontId="22" type="noConversion"/>
  </si>
  <si>
    <t>Advanced</t>
    <phoneticPr fontId="22" type="noConversion"/>
  </si>
  <si>
    <t>欣昱晟</t>
    <phoneticPr fontId="22" type="noConversion"/>
  </si>
  <si>
    <t>D10L</t>
    <phoneticPr fontId="22" type="noConversion"/>
  </si>
  <si>
    <t>車燈</t>
    <phoneticPr fontId="22" type="noConversion"/>
  </si>
  <si>
    <t>SYC</t>
    <phoneticPr fontId="22" type="noConversion"/>
  </si>
  <si>
    <t>福安</t>
    <phoneticPr fontId="22" type="noConversion"/>
  </si>
  <si>
    <t>AB30T</t>
    <phoneticPr fontId="22" type="noConversion"/>
  </si>
  <si>
    <t xml:space="preserve">FUAN </t>
    <phoneticPr fontId="22" type="noConversion"/>
  </si>
  <si>
    <t>必特</t>
    <phoneticPr fontId="22" type="noConversion"/>
  </si>
  <si>
    <t>O</t>
    <phoneticPr fontId="22" type="noConversion"/>
  </si>
  <si>
    <t>M9</t>
    <phoneticPr fontId="22" type="noConversion"/>
  </si>
  <si>
    <t>包裝</t>
    <phoneticPr fontId="22" type="noConversion"/>
  </si>
  <si>
    <t>BITO</t>
    <phoneticPr fontId="22" type="noConversion"/>
  </si>
  <si>
    <t>SG-223</t>
  </si>
  <si>
    <t>Smart PC Pump</t>
  </si>
  <si>
    <t>Ger Yang</t>
  </si>
  <si>
    <t>O</t>
  </si>
  <si>
    <t>SG-173</t>
  </si>
  <si>
    <t>M9</t>
  </si>
  <si>
    <t>NordST</t>
  </si>
  <si>
    <t>JL3OO &amp; SP-GUN</t>
  </si>
  <si>
    <t xml:space="preserve">TAIWAN GINS LEADER </t>
  </si>
  <si>
    <t>SG-267-1</t>
  </si>
  <si>
    <t>NDC-200L</t>
  </si>
  <si>
    <t>LUNG MENG</t>
  </si>
  <si>
    <t>JL300-20</t>
  </si>
  <si>
    <t>TYG</t>
  </si>
  <si>
    <t>T</t>
  </si>
  <si>
    <t>SG-260</t>
  </si>
  <si>
    <t>D4L</t>
  </si>
  <si>
    <r>
      <rPr>
        <b/>
        <sz val="14"/>
        <rFont val="標楷體"/>
        <family val="4"/>
        <charset val="136"/>
      </rPr>
      <t>車燈</t>
    </r>
  </si>
  <si>
    <r>
      <rPr>
        <b/>
        <sz val="14"/>
        <rFont val="標楷體"/>
        <family val="4"/>
        <charset val="136"/>
      </rPr>
      <t>格楊</t>
    </r>
  </si>
  <si>
    <r>
      <rPr>
        <b/>
        <sz val="14"/>
        <rFont val="標楷體"/>
        <family val="4"/>
        <charset val="136"/>
      </rPr>
      <t>欣富發</t>
    </r>
  </si>
  <si>
    <r>
      <rPr>
        <b/>
        <sz val="14"/>
        <color theme="1"/>
        <rFont val="標楷體"/>
        <family val="4"/>
        <charset val="136"/>
      </rPr>
      <t>諾強</t>
    </r>
  </si>
  <si>
    <r>
      <rPr>
        <b/>
        <sz val="14"/>
        <rFont val="標楷體"/>
        <family val="4"/>
        <charset val="136"/>
      </rPr>
      <t>雪鏡</t>
    </r>
  </si>
  <si>
    <r>
      <rPr>
        <b/>
        <sz val="14"/>
        <color theme="1"/>
        <rFont val="標楷體"/>
        <family val="4"/>
        <charset val="136"/>
      </rPr>
      <t>跑帶上油機</t>
    </r>
  </si>
  <si>
    <r>
      <rPr>
        <b/>
        <sz val="14"/>
        <color theme="1"/>
        <rFont val="標楷體"/>
        <family val="4"/>
        <charset val="136"/>
      </rPr>
      <t>跑步機</t>
    </r>
  </si>
  <si>
    <r>
      <rPr>
        <b/>
        <sz val="14"/>
        <color theme="1"/>
        <rFont val="標楷體"/>
        <family val="4"/>
        <charset val="136"/>
      </rPr>
      <t>台灣金石利</t>
    </r>
  </si>
  <si>
    <r>
      <rPr>
        <b/>
        <sz val="14"/>
        <rFont val="標楷體"/>
        <family val="4"/>
        <charset val="136"/>
      </rPr>
      <t>簡易規劃及報價</t>
    </r>
  </si>
  <si>
    <r>
      <rPr>
        <b/>
        <sz val="14"/>
        <color theme="1"/>
        <rFont val="標楷體"/>
        <family val="4"/>
        <charset val="136"/>
      </rPr>
      <t>石頭瓦楞紙</t>
    </r>
  </si>
  <si>
    <r>
      <rPr>
        <b/>
        <sz val="14"/>
        <color theme="1"/>
        <rFont val="標楷體"/>
        <family val="4"/>
        <charset val="136"/>
      </rPr>
      <t>龍盟</t>
    </r>
  </si>
  <si>
    <r>
      <rPr>
        <b/>
        <sz val="14"/>
        <rFont val="標楷體"/>
        <family val="4"/>
        <charset val="136"/>
      </rPr>
      <t>電話或信件初次接觸</t>
    </r>
  </si>
  <si>
    <r>
      <rPr>
        <b/>
        <sz val="14"/>
        <color theme="1"/>
        <rFont val="標楷體"/>
        <family val="4"/>
        <charset val="136"/>
      </rPr>
      <t>吹袋機</t>
    </r>
  </si>
  <si>
    <r>
      <rPr>
        <b/>
        <sz val="14"/>
        <color theme="1"/>
        <rFont val="標楷體"/>
        <family val="4"/>
        <charset val="136"/>
      </rPr>
      <t>東陽</t>
    </r>
  </si>
  <si>
    <r>
      <rPr>
        <b/>
        <sz val="14"/>
        <color theme="1"/>
        <rFont val="標楷體"/>
        <family val="4"/>
        <charset val="136"/>
      </rPr>
      <t>包裝</t>
    </r>
  </si>
  <si>
    <r>
      <rPr>
        <b/>
        <sz val="14"/>
        <color theme="1"/>
        <rFont val="標楷體"/>
        <family val="4"/>
        <charset val="136"/>
      </rPr>
      <t>期美</t>
    </r>
    <r>
      <rPr>
        <b/>
        <sz val="14"/>
        <color theme="1"/>
        <rFont val="Calibri"/>
        <family val="2"/>
      </rPr>
      <t>(</t>
    </r>
    <r>
      <rPr>
        <b/>
        <sz val="14"/>
        <color theme="1"/>
        <rFont val="標楷體"/>
        <family val="4"/>
        <charset val="136"/>
      </rPr>
      <t>鑫隆興</t>
    </r>
    <r>
      <rPr>
        <b/>
        <sz val="14"/>
        <color theme="1"/>
        <rFont val="Calibri"/>
        <family val="2"/>
      </rPr>
      <t>)</t>
    </r>
  </si>
  <si>
    <t>暫停</t>
  </si>
  <si>
    <r>
      <rPr>
        <b/>
        <sz val="14"/>
        <color rgb="FF0000FF"/>
        <rFont val="標楷體"/>
        <family val="4"/>
        <charset val="136"/>
      </rPr>
      <t>車燈</t>
    </r>
  </si>
  <si>
    <t>(空白)</t>
  </si>
  <si>
    <r>
      <rPr>
        <b/>
        <sz val="14"/>
        <color rgb="FF0000FF"/>
        <rFont val="標楷體"/>
        <family val="4"/>
        <charset val="136"/>
      </rPr>
      <t>車燈</t>
    </r>
    <phoneticPr fontId="22" type="noConversion"/>
  </si>
  <si>
    <r>
      <rPr>
        <b/>
        <sz val="14"/>
        <color rgb="FF0000FF"/>
        <rFont val="標楷體"/>
        <family val="4"/>
        <charset val="136"/>
      </rPr>
      <t>明安</t>
    </r>
  </si>
  <si>
    <t>T</t>
    <phoneticPr fontId="22" type="noConversion"/>
  </si>
  <si>
    <t>AP20</t>
    <phoneticPr fontId="22" type="noConversion"/>
  </si>
  <si>
    <t>明安</t>
    <phoneticPr fontId="22" type="noConversion"/>
  </si>
  <si>
    <t>Advanced</t>
    <phoneticPr fontId="22" type="noConversion"/>
  </si>
  <si>
    <t>Advanced</t>
    <phoneticPr fontId="22" type="noConversion"/>
  </si>
  <si>
    <t>E</t>
    <phoneticPr fontId="22" type="noConversion"/>
  </si>
  <si>
    <t>SG-346</t>
    <phoneticPr fontId="22" type="noConversion"/>
  </si>
  <si>
    <t>高爾夫球頭</t>
    <phoneticPr fontId="22" type="noConversion"/>
  </si>
  <si>
    <t>SG-337</t>
    <phoneticPr fontId="22" type="noConversion"/>
  </si>
  <si>
    <t>Tayih</t>
    <phoneticPr fontId="22" type="noConversion"/>
  </si>
  <si>
    <t>E</t>
    <phoneticPr fontId="22" type="noConversion"/>
  </si>
  <si>
    <r>
      <rPr>
        <b/>
        <sz val="14"/>
        <rFont val="標楷體"/>
        <family val="4"/>
        <charset val="136"/>
      </rPr>
      <t>車燈</t>
    </r>
    <phoneticPr fontId="22" type="noConversion"/>
  </si>
  <si>
    <r>
      <rPr>
        <b/>
        <sz val="14"/>
        <rFont val="標楷體"/>
        <family val="4"/>
        <charset val="136"/>
      </rPr>
      <t>暫停</t>
    </r>
  </si>
  <si>
    <r>
      <rPr>
        <b/>
        <sz val="14"/>
        <color theme="1"/>
        <rFont val="標楷體"/>
        <family val="4"/>
        <charset val="136"/>
      </rPr>
      <t>車燈</t>
    </r>
    <phoneticPr fontId="22" type="noConversion"/>
  </si>
  <si>
    <r>
      <t xml:space="preserve">SEE </t>
    </r>
    <r>
      <rPr>
        <b/>
        <sz val="14"/>
        <color theme="1"/>
        <rFont val="標楷體"/>
        <family val="4"/>
        <charset val="136"/>
      </rPr>
      <t>改雙槍</t>
    </r>
    <phoneticPr fontId="22" type="noConversion"/>
  </si>
  <si>
    <r>
      <rPr>
        <b/>
        <sz val="14"/>
        <color theme="1"/>
        <rFont val="標楷體"/>
        <family val="4"/>
        <charset val="136"/>
      </rPr>
      <t>高爾夫球頭</t>
    </r>
    <phoneticPr fontId="22" type="noConversion"/>
  </si>
  <si>
    <r>
      <rPr>
        <b/>
        <sz val="14"/>
        <rFont val="標楷體"/>
        <family val="4"/>
        <charset val="136"/>
      </rPr>
      <t>詳細規劃及報價</t>
    </r>
    <phoneticPr fontId="22" type="noConversion"/>
  </si>
  <si>
    <r>
      <rPr>
        <b/>
        <sz val="14"/>
        <color theme="1"/>
        <rFont val="標楷體"/>
        <family val="4"/>
        <charset val="136"/>
      </rPr>
      <t>發泡</t>
    </r>
    <r>
      <rPr>
        <b/>
        <sz val="14"/>
        <color theme="1"/>
        <rFont val="Calibri"/>
        <family val="2"/>
      </rPr>
      <t xml:space="preserve"> </t>
    </r>
    <r>
      <rPr>
        <b/>
        <sz val="14"/>
        <color theme="1"/>
        <rFont val="標楷體"/>
        <family val="4"/>
        <charset val="136"/>
      </rPr>
      <t>改雙槍</t>
    </r>
    <phoneticPr fontId="22" type="noConversion"/>
  </si>
  <si>
    <r>
      <rPr>
        <b/>
        <sz val="14"/>
        <color rgb="FF0000FF"/>
        <rFont val="標楷體"/>
        <family val="4"/>
        <charset val="136"/>
      </rPr>
      <t>堤維西</t>
    </r>
    <phoneticPr fontId="22" type="noConversion"/>
  </si>
  <si>
    <t>SG-345</t>
    <phoneticPr fontId="22" type="noConversion"/>
  </si>
  <si>
    <t>SG-344</t>
  </si>
  <si>
    <t>E</t>
    <phoneticPr fontId="22" type="noConversion"/>
  </si>
  <si>
    <t>進發</t>
    <phoneticPr fontId="22" type="noConversion"/>
  </si>
  <si>
    <t>***</t>
    <phoneticPr fontId="22" type="noConversion"/>
  </si>
  <si>
    <t>說明2、欣富發需求2K設備，以請技術部協助規劃中!目前產量不足以進行投入設備!</t>
    <phoneticPr fontId="22" type="noConversion"/>
  </si>
  <si>
    <t>說明3、格楊已經接到統萬裹包機設備訂單(汰換宇厚裹包機)，後續格楊會自行開發製作預計9月份交機。</t>
    <phoneticPr fontId="22" type="noConversion"/>
  </si>
  <si>
    <r>
      <t>說明1、TYC有VA25 IPC故障問題，目前朝向不維修汰換整機。已經開單採購流程中!</t>
    </r>
    <r>
      <rPr>
        <b/>
        <sz val="16"/>
        <color rgb="FF0000FF"/>
        <rFont val="標楷體"/>
        <family val="4"/>
        <charset val="136"/>
      </rPr>
      <t>(已經下單)</t>
    </r>
    <phoneticPr fontId="22" type="noConversion"/>
  </si>
  <si>
    <t>說明5、諾強有規劃一條雪鏡生產線需求UV塗佈系統。</t>
    <phoneticPr fontId="22" type="noConversion"/>
  </si>
  <si>
    <t>說明6、期美(鑫隆興)後續還有2~3套需求，端看第一套膠機狀況後再下單!</t>
    <phoneticPr fontId="22" type="noConversion"/>
  </si>
  <si>
    <t>說明7、台灣金石利需求石頭瓦楞紙生產線補膠系統，目前等待他們有實際訂單後執行採購!</t>
    <phoneticPr fontId="22" type="noConversion"/>
  </si>
  <si>
    <t>說明8、龍盟機械有報價給葡萄牙之客戶吹袋機系統，需求3台補膠機，目前等待他們有實際訂單後執行採購!</t>
    <phoneticPr fontId="22" type="noConversion"/>
  </si>
  <si>
    <t>說明9、東陽預計汰換一套膠機系統。</t>
    <phoneticPr fontId="22" type="noConversion"/>
  </si>
  <si>
    <t>美輝</t>
    <phoneticPr fontId="22" type="noConversion"/>
  </si>
  <si>
    <t>大億</t>
    <phoneticPr fontId="22" type="noConversion"/>
  </si>
  <si>
    <t>說明10、進發目前評估PUR生產線，已經報價機台及遠呈PU膠。</t>
    <phoneticPr fontId="22" type="noConversion"/>
  </si>
  <si>
    <t>說明11、美輝目前預計進行505型PU膠機汰換。</t>
    <phoneticPr fontId="22" type="noConversion"/>
  </si>
  <si>
    <t>說明12、明安舊有那一套SEE 2K機台目前用於研發想要擴增為雙槍模式。</t>
    <phoneticPr fontId="22" type="noConversion"/>
  </si>
  <si>
    <t>說明13、大億2K發泡膠機目前單槍產能不足，預計要修改為雙槍以因應產能，目前已經報價待評估。</t>
    <phoneticPr fontId="22" type="noConversion"/>
  </si>
  <si>
    <r>
      <t>說明4、明安目前產能評估需要再增加，目前檢討中還未定案!</t>
    </r>
    <r>
      <rPr>
        <b/>
        <sz val="16"/>
        <color rgb="FF0000FF"/>
        <rFont val="標楷體"/>
        <family val="4"/>
        <charset val="136"/>
      </rPr>
      <t>(已經下單該設備台灣驗收後移往大陸廠生產)</t>
    </r>
    <phoneticPr fontId="22" type="noConversion"/>
  </si>
  <si>
    <t>其他</t>
    <phoneticPr fontId="5" type="noConversion"/>
  </si>
  <si>
    <t>UV</t>
    <phoneticPr fontId="5" type="noConversion"/>
  </si>
  <si>
    <t>EFD</t>
    <phoneticPr fontId="22" type="noConversion"/>
  </si>
  <si>
    <t>塗佈代工</t>
    <phoneticPr fontId="22" type="noConversion"/>
  </si>
  <si>
    <t>UBA</t>
    <phoneticPr fontId="22" type="noConversion"/>
  </si>
  <si>
    <t>第1頁</t>
  </si>
  <si>
    <t>發票號碼</t>
  </si>
  <si>
    <t>PPC</t>
  </si>
  <si>
    <t>UV</t>
  </si>
  <si>
    <t>TOTAL:</t>
    <phoneticPr fontId="40" type="noConversion"/>
  </si>
  <si>
    <t>PA</t>
  </si>
  <si>
    <t>PKG</t>
  </si>
  <si>
    <t>2026/06/18</t>
  </si>
  <si>
    <t>2026/06/24</t>
  </si>
  <si>
    <t>2026/06/01</t>
  </si>
  <si>
    <t>NW</t>
  </si>
  <si>
    <t>ICS</t>
  </si>
  <si>
    <t>PKG</t>
    <phoneticPr fontId="22" type="noConversion"/>
  </si>
  <si>
    <t>PA</t>
    <phoneticPr fontId="22" type="noConversion"/>
  </si>
  <si>
    <t>NW</t>
    <phoneticPr fontId="22" type="noConversion"/>
  </si>
  <si>
    <t>COVERING</t>
    <phoneticPr fontId="5" type="noConversion"/>
  </si>
  <si>
    <t>憑單單號</t>
  </si>
  <si>
    <t>廠商代號</t>
  </si>
  <si>
    <t>廠商簡稱</t>
  </si>
  <si>
    <t>原幣貨款金額</t>
  </si>
  <si>
    <t>發票日期</t>
  </si>
  <si>
    <t>科目名稱</t>
  </si>
  <si>
    <t>備註</t>
  </si>
  <si>
    <t>2026/06/25</t>
  </si>
  <si>
    <t>什支</t>
  </si>
  <si>
    <t>200724</t>
  </si>
  <si>
    <t>中和碁電</t>
  </si>
  <si>
    <t>物料費</t>
  </si>
  <si>
    <t>200070</t>
  </si>
  <si>
    <t>百億</t>
  </si>
  <si>
    <t>暫付款</t>
  </si>
  <si>
    <t>200856</t>
  </si>
  <si>
    <t>長勱</t>
  </si>
  <si>
    <t>200555</t>
  </si>
  <si>
    <t>建丞</t>
  </si>
  <si>
    <t>200377</t>
  </si>
  <si>
    <t>台灣三住</t>
  </si>
  <si>
    <r>
      <rPr>
        <b/>
        <sz val="24"/>
        <rFont val="標楷體"/>
        <family val="4"/>
        <charset val="136"/>
      </rPr>
      <t>南</t>
    </r>
    <r>
      <rPr>
        <b/>
        <sz val="24"/>
        <rFont val="Calibri"/>
        <family val="2"/>
      </rPr>
      <t xml:space="preserve"> </t>
    </r>
    <r>
      <rPr>
        <b/>
        <sz val="24"/>
        <rFont val="標楷體"/>
        <family val="4"/>
        <charset val="136"/>
      </rPr>
      <t>區服務處</t>
    </r>
    <r>
      <rPr>
        <b/>
        <sz val="24"/>
        <rFont val="Microsoft JhengHei"/>
        <family val="4"/>
      </rPr>
      <t>七</t>
    </r>
    <r>
      <rPr>
        <b/>
        <sz val="24"/>
        <rFont val="標楷體"/>
        <family val="4"/>
        <charset val="136"/>
      </rPr>
      <t>月份工作報告</t>
    </r>
    <phoneticPr fontId="5" type="noConversion"/>
  </si>
  <si>
    <t>黃底為保養</t>
    <phoneticPr fontId="40" type="noConversion"/>
  </si>
  <si>
    <r>
      <rPr>
        <sz val="11"/>
        <rFont val="新細明體"/>
        <family val="1"/>
        <charset val="136"/>
      </rPr>
      <t>諾達股份有限公司</t>
    </r>
  </si>
  <si>
    <r>
      <t>*</t>
    </r>
    <r>
      <rPr>
        <sz val="11"/>
        <rFont val="新細明體"/>
        <family val="1"/>
        <charset val="136"/>
      </rPr>
      <t>銷貨毛利表</t>
    </r>
  </si>
  <si>
    <r>
      <rPr>
        <sz val="11"/>
        <rFont val="新細明體"/>
        <family val="1"/>
        <charset val="136"/>
      </rPr>
      <t>分類</t>
    </r>
    <r>
      <rPr>
        <sz val="11"/>
        <rFont val="Arial"/>
        <family val="2"/>
      </rPr>
      <t xml:space="preserve"> : 001</t>
    </r>
  </si>
  <si>
    <r>
      <rPr>
        <sz val="11"/>
        <rFont val="新細明體"/>
        <family val="1"/>
        <charset val="136"/>
      </rPr>
      <t>製表日期</t>
    </r>
    <r>
      <rPr>
        <sz val="11"/>
        <rFont val="Arial"/>
        <family val="2"/>
      </rPr>
      <t>: 2026/07/27</t>
    </r>
  </si>
  <si>
    <r>
      <rPr>
        <sz val="11"/>
        <rFont val="新細明體"/>
        <family val="1"/>
        <charset val="136"/>
      </rPr>
      <t>單據日</t>
    </r>
    <r>
      <rPr>
        <sz val="11"/>
        <rFont val="Arial"/>
        <family val="2"/>
      </rPr>
      <t xml:space="preserve">: 2026/07/01 </t>
    </r>
    <r>
      <rPr>
        <sz val="11"/>
        <rFont val="新細明體"/>
        <family val="1"/>
        <charset val="136"/>
      </rPr>
      <t>至</t>
    </r>
    <r>
      <rPr>
        <sz val="11"/>
        <rFont val="Arial"/>
        <family val="2"/>
      </rPr>
      <t xml:space="preserve"> 2026/07/27</t>
    </r>
  </si>
  <si>
    <r>
      <rPr>
        <sz val="9"/>
        <rFont val="新細明體"/>
        <family val="1"/>
        <charset val="136"/>
      </rPr>
      <t>第</t>
    </r>
    <r>
      <rPr>
        <sz val="9"/>
        <rFont val="Arial"/>
        <family val="2"/>
      </rPr>
      <t>1</t>
    </r>
    <r>
      <rPr>
        <sz val="9"/>
        <rFont val="新細明體"/>
        <family val="1"/>
        <charset val="136"/>
      </rPr>
      <t>頁</t>
    </r>
  </si>
  <si>
    <r>
      <rPr>
        <sz val="11"/>
        <rFont val="新細明體"/>
        <family val="1"/>
        <charset val="136"/>
      </rPr>
      <t>銷貨日期</t>
    </r>
  </si>
  <si>
    <r>
      <rPr>
        <sz val="11"/>
        <rFont val="新細明體"/>
        <family val="1"/>
        <charset val="136"/>
      </rPr>
      <t>客戶簡稱</t>
    </r>
  </si>
  <si>
    <r>
      <rPr>
        <sz val="11"/>
        <rFont val="新細明體"/>
        <family val="1"/>
        <charset val="136"/>
      </rPr>
      <t>發票號碼</t>
    </r>
  </si>
  <si>
    <r>
      <rPr>
        <sz val="11"/>
        <rFont val="新細明體"/>
        <family val="1"/>
        <charset val="136"/>
      </rPr>
      <t>銷貨淨額</t>
    </r>
  </si>
  <si>
    <r>
      <rPr>
        <sz val="11"/>
        <rFont val="新細明體"/>
        <family val="1"/>
        <charset val="136"/>
      </rPr>
      <t>進貨金額</t>
    </r>
  </si>
  <si>
    <r>
      <rPr>
        <sz val="11"/>
        <rFont val="新細明體"/>
        <family val="1"/>
        <charset val="136"/>
      </rPr>
      <t>毛利金額</t>
    </r>
  </si>
  <si>
    <r>
      <rPr>
        <sz val="11"/>
        <rFont val="新細明體"/>
        <family val="1"/>
        <charset val="136"/>
      </rPr>
      <t>毛利率</t>
    </r>
  </si>
  <si>
    <r>
      <rPr>
        <sz val="11"/>
        <rFont val="新細明體"/>
        <family val="1"/>
        <charset val="136"/>
      </rPr>
      <t>型態別</t>
    </r>
  </si>
  <si>
    <r>
      <rPr>
        <sz val="9"/>
        <rFont val="新細明體"/>
        <family val="1"/>
        <charset val="136"/>
      </rPr>
      <t>業務代表</t>
    </r>
  </si>
  <si>
    <r>
      <rPr>
        <sz val="9"/>
        <rFont val="新細明體"/>
        <family val="1"/>
        <charset val="136"/>
      </rPr>
      <t>銷貨單別</t>
    </r>
    <r>
      <rPr>
        <sz val="9"/>
        <rFont val="Arial"/>
        <family val="2"/>
      </rPr>
      <t>-</t>
    </r>
    <r>
      <rPr>
        <sz val="9"/>
        <rFont val="新細明體"/>
        <family val="1"/>
        <charset val="136"/>
      </rPr>
      <t>單號</t>
    </r>
  </si>
  <si>
    <t>2026/07/07</t>
  </si>
  <si>
    <r>
      <rPr>
        <sz val="11"/>
        <rFont val="新細明體"/>
        <family val="1"/>
        <charset val="136"/>
      </rPr>
      <t>銘機</t>
    </r>
  </si>
  <si>
    <t>CA44807425</t>
  </si>
  <si>
    <r>
      <rPr>
        <sz val="9"/>
        <rFont val="新細明體"/>
        <family val="1"/>
        <charset val="136"/>
      </rPr>
      <t>林壬杰</t>
    </r>
  </si>
  <si>
    <t>C231-260707008</t>
  </si>
  <si>
    <t>2026/07/24</t>
  </si>
  <si>
    <t>百竤</t>
    <phoneticPr fontId="40" type="noConversion"/>
  </si>
  <si>
    <t>CA44807450</t>
  </si>
  <si>
    <t>PA</t>
    <phoneticPr fontId="40" type="noConversion"/>
  </si>
  <si>
    <t>C231-260724001</t>
  </si>
  <si>
    <r>
      <rPr>
        <sz val="11"/>
        <rFont val="新細明體"/>
        <family val="1"/>
        <charset val="136"/>
      </rPr>
      <t>小計</t>
    </r>
    <r>
      <rPr>
        <sz val="11"/>
        <rFont val="Arial"/>
        <family val="2"/>
      </rPr>
      <t>:</t>
    </r>
  </si>
  <si>
    <r>
      <rPr>
        <sz val="11"/>
        <rFont val="新細明體"/>
        <family val="1"/>
        <charset val="136"/>
      </rPr>
      <t>一般銷貨單</t>
    </r>
  </si>
  <si>
    <r>
      <rPr>
        <sz val="11"/>
        <rFont val="新細明體"/>
        <family val="1"/>
        <charset val="136"/>
      </rPr>
      <t>物料</t>
    </r>
    <phoneticPr fontId="40" type="noConversion"/>
  </si>
  <si>
    <r>
      <rPr>
        <sz val="11"/>
        <rFont val="新細明體"/>
        <family val="1"/>
        <charset val="136"/>
      </rPr>
      <t>合計</t>
    </r>
    <r>
      <rPr>
        <sz val="11"/>
        <rFont val="Arial"/>
        <family val="2"/>
      </rPr>
      <t>:</t>
    </r>
  </si>
  <si>
    <r>
      <rPr>
        <sz val="11"/>
        <rFont val="新細明體"/>
        <family val="1"/>
        <charset val="136"/>
      </rPr>
      <t>分類</t>
    </r>
    <r>
      <rPr>
        <sz val="11"/>
        <rFont val="Arial"/>
        <family val="2"/>
      </rPr>
      <t xml:space="preserve"> : 002</t>
    </r>
  </si>
  <si>
    <t>2026/07/01</t>
  </si>
  <si>
    <r>
      <rPr>
        <sz val="11"/>
        <rFont val="新細明體"/>
        <family val="1"/>
        <charset val="136"/>
      </rPr>
      <t>峪豐</t>
    </r>
  </si>
  <si>
    <t>ZX44838367</t>
  </si>
  <si>
    <r>
      <rPr>
        <sz val="9"/>
        <rFont val="新細明體"/>
        <family val="1"/>
        <charset val="136"/>
      </rPr>
      <t>許靜修</t>
    </r>
  </si>
  <si>
    <t>C231-260701001</t>
  </si>
  <si>
    <r>
      <rPr>
        <sz val="11"/>
        <rFont val="新細明體"/>
        <family val="1"/>
        <charset val="136"/>
      </rPr>
      <t>東陽</t>
    </r>
  </si>
  <si>
    <t>ZX44838368</t>
  </si>
  <si>
    <t>C231-260701002</t>
  </si>
  <si>
    <r>
      <rPr>
        <sz val="11"/>
        <rFont val="新細明體"/>
        <family val="1"/>
        <charset val="136"/>
      </rPr>
      <t>可成應材</t>
    </r>
  </si>
  <si>
    <t>CA41734301</t>
  </si>
  <si>
    <r>
      <rPr>
        <sz val="9"/>
        <rFont val="新細明體"/>
        <family val="1"/>
        <charset val="136"/>
      </rPr>
      <t>陳家霖</t>
    </r>
  </si>
  <si>
    <t>C231-260701004</t>
  </si>
  <si>
    <t>2026/07/13</t>
  </si>
  <si>
    <t>CA41734302</t>
  </si>
  <si>
    <t>C231-260713001</t>
  </si>
  <si>
    <r>
      <rPr>
        <sz val="11"/>
        <rFont val="新細明體"/>
        <family val="1"/>
        <charset val="136"/>
      </rPr>
      <t>健翔</t>
    </r>
  </si>
  <si>
    <t>CA41734303</t>
  </si>
  <si>
    <r>
      <rPr>
        <sz val="9"/>
        <rFont val="新細明體"/>
        <family val="1"/>
        <charset val="136"/>
      </rPr>
      <t>盧昱愷</t>
    </r>
  </si>
  <si>
    <t>C231-260707001</t>
  </si>
  <si>
    <t>2026/07/09</t>
  </si>
  <si>
    <r>
      <rPr>
        <sz val="11"/>
        <rFont val="新細明體"/>
        <family val="1"/>
        <charset val="136"/>
      </rPr>
      <t>競陽清潔</t>
    </r>
  </si>
  <si>
    <t>CA41734304</t>
  </si>
  <si>
    <t>C231-260709001</t>
  </si>
  <si>
    <t>CA41734305</t>
  </si>
  <si>
    <t>C231-260713002</t>
  </si>
  <si>
    <t>2026/07/14</t>
  </si>
  <si>
    <r>
      <rPr>
        <sz val="11"/>
        <rFont val="新細明體"/>
        <family val="1"/>
        <charset val="136"/>
      </rPr>
      <t>和勝</t>
    </r>
  </si>
  <si>
    <t>CA41734306</t>
  </si>
  <si>
    <t>C231-260714001</t>
  </si>
  <si>
    <r>
      <rPr>
        <sz val="11"/>
        <rFont val="新細明體"/>
        <family val="1"/>
        <charset val="136"/>
      </rPr>
      <t>益德國際</t>
    </r>
  </si>
  <si>
    <t>CA41734307</t>
  </si>
  <si>
    <t>C231-260714002</t>
  </si>
  <si>
    <r>
      <rPr>
        <sz val="11"/>
        <rFont val="新細明體"/>
        <family val="1"/>
        <charset val="136"/>
      </rPr>
      <t>盛浩</t>
    </r>
    <r>
      <rPr>
        <sz val="11"/>
        <rFont val="Arial"/>
        <family val="2"/>
      </rPr>
      <t>-</t>
    </r>
    <r>
      <rPr>
        <sz val="11"/>
        <rFont val="新細明體"/>
        <family val="1"/>
        <charset val="136"/>
      </rPr>
      <t>南</t>
    </r>
  </si>
  <si>
    <t>CA41734308</t>
  </si>
  <si>
    <t>C231-260724010</t>
  </si>
  <si>
    <r>
      <rPr>
        <sz val="11"/>
        <rFont val="新細明體"/>
        <family val="1"/>
        <charset val="136"/>
      </rPr>
      <t>雙穩健</t>
    </r>
    <r>
      <rPr>
        <sz val="11"/>
        <rFont val="Arial"/>
        <family val="2"/>
      </rPr>
      <t>-</t>
    </r>
    <r>
      <rPr>
        <sz val="11"/>
        <rFont val="新細明體"/>
        <family val="1"/>
        <charset val="136"/>
      </rPr>
      <t>南</t>
    </r>
  </si>
  <si>
    <t>CA44807400</t>
  </si>
  <si>
    <t>C231-260701005</t>
  </si>
  <si>
    <t>CA44807401</t>
  </si>
  <si>
    <t>C231-260701006</t>
  </si>
  <si>
    <r>
      <rPr>
        <sz val="11"/>
        <rFont val="新細明體"/>
        <family val="1"/>
        <charset val="136"/>
      </rPr>
      <t>統一實業</t>
    </r>
  </si>
  <si>
    <t>CA44807402</t>
  </si>
  <si>
    <t>C231-260701007</t>
  </si>
  <si>
    <r>
      <rPr>
        <sz val="11"/>
        <rFont val="新細明體"/>
        <family val="1"/>
        <charset val="136"/>
      </rPr>
      <t>大順機械</t>
    </r>
  </si>
  <si>
    <t>CA44807403</t>
  </si>
  <si>
    <t>C231-260701008</t>
  </si>
  <si>
    <r>
      <rPr>
        <sz val="11"/>
        <rFont val="新細明體"/>
        <family val="1"/>
        <charset val="136"/>
      </rPr>
      <t>龍鋒科技</t>
    </r>
  </si>
  <si>
    <t>CA44807405</t>
  </si>
  <si>
    <t>C231-260701009</t>
  </si>
  <si>
    <r>
      <rPr>
        <sz val="11"/>
        <rFont val="新細明體"/>
        <family val="1"/>
        <charset val="136"/>
      </rPr>
      <t>聯電</t>
    </r>
  </si>
  <si>
    <t>CA44807406</t>
  </si>
  <si>
    <t>C231-260701010</t>
  </si>
  <si>
    <r>
      <rPr>
        <sz val="11"/>
        <rFont val="新細明體"/>
        <family val="1"/>
        <charset val="136"/>
      </rPr>
      <t>敏翔</t>
    </r>
  </si>
  <si>
    <t>CA44807407</t>
  </si>
  <si>
    <t>C231-260701011</t>
  </si>
  <si>
    <r>
      <rPr>
        <sz val="11"/>
        <rFont val="新細明體"/>
        <family val="1"/>
        <charset val="136"/>
      </rPr>
      <t>銘岱</t>
    </r>
  </si>
  <si>
    <t>CA44807408</t>
  </si>
  <si>
    <t>C231-260701012</t>
  </si>
  <si>
    <r>
      <rPr>
        <sz val="11"/>
        <rFont val="新細明體"/>
        <family val="1"/>
        <charset val="136"/>
      </rPr>
      <t>州巧</t>
    </r>
  </si>
  <si>
    <t>CA44807409</t>
  </si>
  <si>
    <t>C231-260701013</t>
  </si>
  <si>
    <r>
      <rPr>
        <sz val="11"/>
        <rFont val="新細明體"/>
        <family val="1"/>
        <charset val="136"/>
      </rPr>
      <t>中鋼焊材</t>
    </r>
  </si>
  <si>
    <t>CA44807410</t>
  </si>
  <si>
    <t>C231-260701014</t>
  </si>
  <si>
    <r>
      <rPr>
        <sz val="11"/>
        <rFont val="新細明體"/>
        <family val="1"/>
        <charset val="136"/>
      </rPr>
      <t>聯豪</t>
    </r>
  </si>
  <si>
    <t>CA44807411</t>
  </si>
  <si>
    <t>C231-260701015</t>
  </si>
  <si>
    <r>
      <rPr>
        <sz val="11"/>
        <rFont val="新細明體"/>
        <family val="1"/>
        <charset val="136"/>
      </rPr>
      <t>緯恩</t>
    </r>
  </si>
  <si>
    <t>CA44807412</t>
  </si>
  <si>
    <t>C231-260701016</t>
  </si>
  <si>
    <t>2026/07/03</t>
  </si>
  <si>
    <r>
      <rPr>
        <sz val="11"/>
        <rFont val="新細明體"/>
        <family val="1"/>
        <charset val="136"/>
      </rPr>
      <t>昱奕</t>
    </r>
  </si>
  <si>
    <t>CA44807413</t>
  </si>
  <si>
    <t>C231-260703001</t>
  </si>
  <si>
    <t>2026/07/06</t>
  </si>
  <si>
    <r>
      <rPr>
        <sz val="11"/>
        <rFont val="新細明體"/>
        <family val="1"/>
        <charset val="136"/>
      </rPr>
      <t>豐盈</t>
    </r>
  </si>
  <si>
    <t>CA44807414</t>
  </si>
  <si>
    <r>
      <rPr>
        <sz val="11"/>
        <rFont val="新細明體"/>
        <family val="1"/>
        <charset val="136"/>
      </rPr>
      <t>塗佈代工</t>
    </r>
  </si>
  <si>
    <t>C231-260706001</t>
  </si>
  <si>
    <r>
      <rPr>
        <sz val="11"/>
        <rFont val="新細明體"/>
        <family val="1"/>
        <charset val="136"/>
      </rPr>
      <t>中華紙漿久</t>
    </r>
  </si>
  <si>
    <t>CA44807415</t>
  </si>
  <si>
    <t>C231-260706002</t>
  </si>
  <si>
    <r>
      <rPr>
        <sz val="11"/>
        <rFont val="新細明體"/>
        <family val="1"/>
        <charset val="136"/>
      </rPr>
      <t>允統</t>
    </r>
  </si>
  <si>
    <t>CA44807416</t>
  </si>
  <si>
    <t>C231-260706003</t>
  </si>
  <si>
    <r>
      <rPr>
        <sz val="11"/>
        <rFont val="新細明體"/>
        <family val="1"/>
        <charset val="136"/>
      </rPr>
      <t>大江生醫</t>
    </r>
  </si>
  <si>
    <t>CA44807417</t>
  </si>
  <si>
    <t>C231-260707002</t>
  </si>
  <si>
    <r>
      <rPr>
        <sz val="11"/>
        <rFont val="新細明體"/>
        <family val="1"/>
        <charset val="136"/>
      </rPr>
      <t>豪堤</t>
    </r>
  </si>
  <si>
    <t>CA44807418</t>
  </si>
  <si>
    <t>C231-260707003</t>
  </si>
  <si>
    <t>CA44807420</t>
  </si>
  <si>
    <t>C231-260707004</t>
  </si>
  <si>
    <r>
      <rPr>
        <sz val="11"/>
        <rFont val="新細明體"/>
        <family val="1"/>
        <charset val="136"/>
      </rPr>
      <t>南良</t>
    </r>
  </si>
  <si>
    <t>CA44807422</t>
  </si>
  <si>
    <r>
      <rPr>
        <sz val="11"/>
        <rFont val="新細明體"/>
        <family val="1"/>
        <charset val="136"/>
      </rPr>
      <t>貼合</t>
    </r>
  </si>
  <si>
    <t>C231-260707005</t>
  </si>
  <si>
    <t>CA44807423</t>
  </si>
  <si>
    <t>C231-260707006</t>
  </si>
  <si>
    <t>CA44807424</t>
  </si>
  <si>
    <t>C231-260707007</t>
  </si>
  <si>
    <r>
      <rPr>
        <sz val="11"/>
        <rFont val="新細明體"/>
        <family val="1"/>
        <charset val="136"/>
      </rPr>
      <t>新元豪</t>
    </r>
  </si>
  <si>
    <t>CA44807426</t>
  </si>
  <si>
    <t>C231-260707009</t>
  </si>
  <si>
    <t>2026/07/08</t>
  </si>
  <si>
    <r>
      <rPr>
        <sz val="11"/>
        <rFont val="新細明體"/>
        <family val="1"/>
        <charset val="136"/>
      </rPr>
      <t>生達</t>
    </r>
  </si>
  <si>
    <t>CA44807427</t>
  </si>
  <si>
    <t>C231-260708001</t>
  </si>
  <si>
    <r>
      <rPr>
        <sz val="11"/>
        <rFont val="新細明體"/>
        <family val="1"/>
        <charset val="136"/>
      </rPr>
      <t>璨揚</t>
    </r>
  </si>
  <si>
    <t>CA44807428</t>
  </si>
  <si>
    <t>C231-260709002</t>
  </si>
  <si>
    <r>
      <rPr>
        <sz val="11"/>
        <rFont val="新細明體"/>
        <family val="1"/>
        <charset val="136"/>
      </rPr>
      <t>永丞亨</t>
    </r>
  </si>
  <si>
    <t>CA44807429</t>
  </si>
  <si>
    <t>C231-260709003</t>
  </si>
  <si>
    <r>
      <rPr>
        <sz val="11"/>
        <rFont val="新細明體"/>
        <family val="1"/>
        <charset val="136"/>
      </rPr>
      <t>新進</t>
    </r>
  </si>
  <si>
    <t>CA44807430</t>
  </si>
  <si>
    <t>C231-260709004</t>
  </si>
  <si>
    <t>CA44807432</t>
  </si>
  <si>
    <t>C231-260709005</t>
  </si>
  <si>
    <r>
      <rPr>
        <sz val="11"/>
        <rFont val="新細明體"/>
        <family val="1"/>
        <charset val="136"/>
      </rPr>
      <t>伸長</t>
    </r>
  </si>
  <si>
    <t>CA44807433</t>
  </si>
  <si>
    <t>C231-260713003</t>
  </si>
  <si>
    <t>CA44807434</t>
  </si>
  <si>
    <t>C231-260713004</t>
  </si>
  <si>
    <r>
      <rPr>
        <sz val="11"/>
        <rFont val="新細明體"/>
        <family val="1"/>
        <charset val="136"/>
      </rPr>
      <t>帝寶新營</t>
    </r>
  </si>
  <si>
    <t>CA44807435</t>
  </si>
  <si>
    <t>C231-260714003</t>
  </si>
  <si>
    <r>
      <rPr>
        <sz val="11"/>
        <rFont val="新細明體"/>
        <family val="1"/>
        <charset val="136"/>
      </rPr>
      <t>維達</t>
    </r>
  </si>
  <si>
    <t>CA44807436</t>
    <phoneticPr fontId="40" type="noConversion"/>
  </si>
  <si>
    <t>C231-260714004</t>
  </si>
  <si>
    <t>2026/07/15</t>
  </si>
  <si>
    <t>CA44807437</t>
  </si>
  <si>
    <t>C231-260715001</t>
  </si>
  <si>
    <t>2026/07/20</t>
  </si>
  <si>
    <t>CA44807438</t>
  </si>
  <si>
    <t>C231-260720001</t>
  </si>
  <si>
    <r>
      <rPr>
        <sz val="11"/>
        <rFont val="新細明體"/>
        <family val="1"/>
        <charset val="136"/>
      </rPr>
      <t>芳泉</t>
    </r>
  </si>
  <si>
    <t>CA44807439</t>
  </si>
  <si>
    <t>C231-260720002</t>
  </si>
  <si>
    <r>
      <rPr>
        <sz val="11"/>
        <rFont val="新細明體"/>
        <family val="1"/>
        <charset val="136"/>
      </rPr>
      <t>統一</t>
    </r>
  </si>
  <si>
    <t>CA44807440</t>
  </si>
  <si>
    <t>C231-260720003</t>
  </si>
  <si>
    <t>CA44807441</t>
  </si>
  <si>
    <t>C231-260720004</t>
  </si>
  <si>
    <t>CA44807442</t>
  </si>
  <si>
    <t>C231-260720005</t>
  </si>
  <si>
    <t>CA44807443</t>
  </si>
  <si>
    <t>C231-260720006</t>
  </si>
  <si>
    <r>
      <rPr>
        <sz val="11"/>
        <rFont val="新細明體"/>
        <family val="1"/>
        <charset val="136"/>
      </rPr>
      <t>大億</t>
    </r>
  </si>
  <si>
    <t>CA44807444</t>
  </si>
  <si>
    <t>C231-260720007</t>
  </si>
  <si>
    <t>2026/07/23</t>
  </si>
  <si>
    <t>CA44807445</t>
  </si>
  <si>
    <t>C231-260723001</t>
  </si>
  <si>
    <t>CA44807451</t>
  </si>
  <si>
    <t>C231-260724002</t>
  </si>
  <si>
    <t>CA44807452</t>
  </si>
  <si>
    <t>C231-260724003</t>
  </si>
  <si>
    <t>CA44807453</t>
  </si>
  <si>
    <t>C231-260724004</t>
  </si>
  <si>
    <r>
      <rPr>
        <sz val="11"/>
        <rFont val="新細明體"/>
        <family val="1"/>
        <charset val="136"/>
      </rPr>
      <t>馬玉山</t>
    </r>
  </si>
  <si>
    <t>CA44807454</t>
  </si>
  <si>
    <t>C231-260724005</t>
  </si>
  <si>
    <t>CA44807455</t>
  </si>
  <si>
    <t>C231-260724006</t>
  </si>
  <si>
    <r>
      <rPr>
        <sz val="11"/>
        <rFont val="新細明體"/>
        <family val="1"/>
        <charset val="136"/>
      </rPr>
      <t>日煙</t>
    </r>
  </si>
  <si>
    <t>CA44807456</t>
  </si>
  <si>
    <t>C231-260724007</t>
  </si>
  <si>
    <r>
      <rPr>
        <sz val="11"/>
        <rFont val="新細明體"/>
        <family val="1"/>
        <charset val="136"/>
      </rPr>
      <t>康那香</t>
    </r>
  </si>
  <si>
    <t>CA44807457</t>
  </si>
  <si>
    <t>C231-260724008</t>
  </si>
  <si>
    <r>
      <rPr>
        <sz val="11"/>
        <rFont val="新細明體"/>
        <family val="1"/>
        <charset val="136"/>
      </rPr>
      <t>百事</t>
    </r>
  </si>
  <si>
    <t>CA44807458</t>
  </si>
  <si>
    <t>C231-260724009</t>
  </si>
  <si>
    <r>
      <t>UV</t>
    </r>
    <r>
      <rPr>
        <sz val="11"/>
        <rFont val="新細明體"/>
        <family val="1"/>
        <charset val="136"/>
      </rPr>
      <t>分台中</t>
    </r>
    <r>
      <rPr>
        <sz val="11"/>
        <rFont val="Arial"/>
        <family val="2"/>
      </rPr>
      <t>30%</t>
    </r>
    <phoneticPr fontId="40" type="noConversion"/>
  </si>
  <si>
    <r>
      <rPr>
        <sz val="11"/>
        <rFont val="Microsoft JhengHei"/>
        <family val="2"/>
      </rPr>
      <t>機台</t>
    </r>
    <r>
      <rPr>
        <sz val="11"/>
        <rFont val="Arial"/>
        <family val="2"/>
      </rPr>
      <t>+</t>
    </r>
    <r>
      <rPr>
        <sz val="11"/>
        <rFont val="細明體"/>
        <family val="2"/>
        <charset val="136"/>
      </rPr>
      <t>零件</t>
    </r>
    <phoneticPr fontId="40" type="noConversion"/>
  </si>
  <si>
    <t>單據日: 2026/07/01 至 2026/07/27</t>
  </si>
  <si>
    <t>C711-260725001</t>
  </si>
  <si>
    <t>200092</t>
  </si>
  <si>
    <t>陽明電機</t>
  </si>
  <si>
    <t>DB63100442</t>
  </si>
  <si>
    <t>大億2K矽膠發泡設備製作/壓力傳感器*2</t>
  </si>
  <si>
    <t>C711-260725002</t>
  </si>
  <si>
    <t>CA37343854</t>
  </si>
  <si>
    <t>大億2K矽膠發泡設備製作/鈑金一批</t>
  </si>
  <si>
    <t>C711-260725003</t>
  </si>
  <si>
    <t>200930</t>
  </si>
  <si>
    <t>金展</t>
  </si>
  <si>
    <t>DS74783673</t>
  </si>
  <si>
    <t>大億2K矽膠發泡設備製作/車床件*1</t>
  </si>
  <si>
    <t>C711-260725004</t>
  </si>
  <si>
    <t>200484</t>
  </si>
  <si>
    <t>光明</t>
  </si>
  <si>
    <t>CA52408655</t>
  </si>
  <si>
    <t>大億2K矽膠發泡設備製作/零件加工*1</t>
  </si>
  <si>
    <t>C711-260725005</t>
  </si>
  <si>
    <t>CA52408657</t>
  </si>
  <si>
    <t>大億2K矽膠發泡設備製作/零件加工一批</t>
  </si>
  <si>
    <t>C711-260725006</t>
  </si>
  <si>
    <t>200908</t>
  </si>
  <si>
    <t>廣順</t>
  </si>
  <si>
    <t>ZX57689195</t>
  </si>
  <si>
    <t>C711-260725007</t>
  </si>
  <si>
    <t>200033</t>
  </si>
  <si>
    <t>羅昇</t>
  </si>
  <si>
    <t>BH34513265</t>
  </si>
  <si>
    <t>大億2K矽膠發泡設備製作/馬達 驅動器 線材 聯軸器一批</t>
  </si>
  <si>
    <t>C711-260725008</t>
  </si>
  <si>
    <t>200027</t>
  </si>
  <si>
    <t>新泰成</t>
  </si>
  <si>
    <t>ZX30338690</t>
  </si>
  <si>
    <t>大億2K矽膠發泡設備製作/加熱棒*1</t>
  </si>
  <si>
    <t>C711-260725009</t>
  </si>
  <si>
    <t>200418</t>
  </si>
  <si>
    <t>聚盛</t>
  </si>
  <si>
    <t>CA52891001</t>
  </si>
  <si>
    <t>大億2K矽膠發泡設備製作/減速機*2</t>
  </si>
  <si>
    <t>C711-260725010</t>
  </si>
  <si>
    <t>CA57519052</t>
  </si>
  <si>
    <t>TAH450混合管固定螺母/車床件*5</t>
  </si>
  <si>
    <t>C711-260725011</t>
  </si>
  <si>
    <t>CA52408656</t>
  </si>
  <si>
    <t>本田科齊瑞30ccPUMP改造/零件加工*1</t>
  </si>
  <si>
    <t>2026/07/02</t>
  </si>
  <si>
    <t>C711-260725012</t>
  </si>
  <si>
    <t>200368</t>
  </si>
  <si>
    <t>捷鋮</t>
  </si>
  <si>
    <t>CT67567008</t>
  </si>
  <si>
    <t>本田科齊瑞30ccPUMP改造/聯軸器*1</t>
  </si>
  <si>
    <t>C711-260725013</t>
  </si>
  <si>
    <t>200186</t>
  </si>
  <si>
    <t>子諠</t>
  </si>
  <si>
    <t>CA54400151</t>
  </si>
  <si>
    <t>本田科齊瑞30ccPUMP改造/刮膠環*12</t>
  </si>
  <si>
    <t>C711-260725014</t>
  </si>
  <si>
    <t>CB17139800</t>
  </si>
  <si>
    <t>本田科齊瑞30ccPUMP改造/O RING一批</t>
  </si>
  <si>
    <t>C711-260725015</t>
  </si>
  <si>
    <t>DD03726671</t>
  </si>
  <si>
    <t>大昌應用材料-排線生產設備開發/彈簧 螺絲等一批</t>
  </si>
  <si>
    <t>C711-260725016</t>
  </si>
  <si>
    <t>DD03728917</t>
  </si>
  <si>
    <t>大昌應用材料-排線生產設備開發/滑軌 手輪 扣環 軸承 螺栓 金屬棒等</t>
  </si>
  <si>
    <t>C711-260725017</t>
  </si>
  <si>
    <t>CA57519058</t>
  </si>
  <si>
    <t>大昌應用材料-排線生產設備開發/車床件一批</t>
  </si>
  <si>
    <t>2026/06/23</t>
  </si>
  <si>
    <t>C711-260725018</t>
  </si>
  <si>
    <t>200711</t>
  </si>
  <si>
    <t>宏茂</t>
  </si>
  <si>
    <t>BR25854339</t>
  </si>
  <si>
    <t>銘機UM25slot平面塗頭寬30mm製作shim片開口8mm/零件加工*1</t>
  </si>
  <si>
    <t>2026/07/16</t>
  </si>
  <si>
    <t>C711-260725019</t>
  </si>
  <si>
    <t>200075</t>
  </si>
  <si>
    <t>傑瀛</t>
  </si>
  <si>
    <t>CA29888367</t>
  </si>
  <si>
    <t>大億ME0824*100@60</t>
  </si>
  <si>
    <t>C711-260725020</t>
  </si>
  <si>
    <t>CA29888350</t>
  </si>
  <si>
    <t>昱奕ME0832*200@60</t>
  </si>
  <si>
    <t>C711-260725021</t>
  </si>
  <si>
    <t>200941</t>
  </si>
  <si>
    <t>豐盈</t>
  </si>
  <si>
    <t>ZX53075012</t>
  </si>
  <si>
    <t>購買不織布 離型紙/實驗室QC600 機台測試用</t>
  </si>
  <si>
    <t>C711-260725023</t>
  </si>
  <si>
    <t>DL43694842</t>
  </si>
  <si>
    <t>益德國際/AP20電源開關*1</t>
  </si>
  <si>
    <t>C711-260725024</t>
  </si>
  <si>
    <t>ZX44205650</t>
  </si>
  <si>
    <t>緯恩電磁閥$1100 銘機LA300用管件$524 銘岱CT5R鐵氟龍高壓管$2980</t>
  </si>
  <si>
    <t>2026/07/17</t>
  </si>
  <si>
    <t>C711-260725025</t>
  </si>
  <si>
    <t>200803</t>
  </si>
  <si>
    <t>宏偉</t>
  </si>
  <si>
    <t>DE16461579</t>
  </si>
  <si>
    <t>預付費用</t>
  </si>
  <si>
    <t>114/11~115/10 電梯定期保養</t>
  </si>
  <si>
    <t>C711-260725026</t>
  </si>
  <si>
    <t>DE16461418</t>
  </si>
  <si>
    <t>114年電梯檢查費用</t>
  </si>
  <si>
    <t>C711-260725027</t>
  </si>
  <si>
    <t>200538</t>
  </si>
  <si>
    <t>伍全高雄</t>
  </si>
  <si>
    <t>DV97035039</t>
  </si>
  <si>
    <t>南良EP51刀唇牙套+LAB 備用牙套</t>
  </si>
  <si>
    <t>百億 LA300 Pump-透明鋼絲管+管束/銘機</t>
  </si>
  <si>
    <t>利能 AP20用變壓器/百竤</t>
  </si>
  <si>
    <t>正誠 UM25 Slot-shim片*8/T03-115054/銘機</t>
  </si>
  <si>
    <t>機台</t>
    <phoneticPr fontId="40" type="noConversion"/>
  </si>
  <si>
    <t>零件</t>
    <phoneticPr fontId="40" type="noConversion"/>
  </si>
  <si>
    <r>
      <t>IPC</t>
    </r>
    <r>
      <rPr>
        <sz val="11"/>
        <color theme="1"/>
        <rFont val="Microsoft JhengHei"/>
        <family val="2"/>
      </rPr>
      <t>維修</t>
    </r>
    <phoneticPr fontId="5" type="noConversion"/>
  </si>
  <si>
    <r>
      <t>CT5R</t>
    </r>
    <r>
      <rPr>
        <sz val="11"/>
        <color theme="1"/>
        <rFont val="Microsoft JhengHei"/>
        <family val="2"/>
      </rPr>
      <t>控制閥</t>
    </r>
    <phoneticPr fontId="5" type="noConversion"/>
  </si>
  <si>
    <t>ME0832</t>
    <phoneticPr fontId="5" type="noConversion"/>
  </si>
  <si>
    <t>工資</t>
    <phoneticPr fontId="5" type="noConversion"/>
  </si>
  <si>
    <t>固定塊</t>
    <phoneticPr fontId="5" type="noConversion"/>
  </si>
  <si>
    <t>物料</t>
    <phoneticPr fontId="5" type="noConversion"/>
  </si>
  <si>
    <t>me0824</t>
    <phoneticPr fontId="5" type="noConversion"/>
  </si>
  <si>
    <r>
      <t>pump</t>
    </r>
    <r>
      <rPr>
        <sz val="11"/>
        <color theme="1"/>
        <rFont val="Microsoft JhengHei"/>
        <family val="2"/>
      </rPr>
      <t>聯軸器</t>
    </r>
    <phoneticPr fontId="5" type="noConversion"/>
  </si>
  <si>
    <t>型態別</t>
  </si>
  <si>
    <t>(全部)</t>
  </si>
  <si>
    <t>列標籤</t>
  </si>
  <si>
    <t>大江生醫</t>
  </si>
  <si>
    <t>大順機械</t>
  </si>
  <si>
    <t>大億</t>
  </si>
  <si>
    <t>中華紙漿久</t>
  </si>
  <si>
    <t>中鋼焊材</t>
  </si>
  <si>
    <t>允統</t>
  </si>
  <si>
    <t>日煙</t>
  </si>
  <si>
    <t>可成應材</t>
  </si>
  <si>
    <t>永丞亨</t>
  </si>
  <si>
    <t>生達</t>
  </si>
  <si>
    <t>州巧</t>
  </si>
  <si>
    <t>百事</t>
  </si>
  <si>
    <t>伸長</t>
  </si>
  <si>
    <t>和勝</t>
  </si>
  <si>
    <t>東陽</t>
  </si>
  <si>
    <t>芳泉</t>
  </si>
  <si>
    <t>南良</t>
  </si>
  <si>
    <t>帝寶新營</t>
  </si>
  <si>
    <t>昱奕</t>
  </si>
  <si>
    <t>峪豐</t>
  </si>
  <si>
    <t>益德國際</t>
  </si>
  <si>
    <t>馬玉山</t>
  </si>
  <si>
    <t>健翔</t>
  </si>
  <si>
    <t>康那香</t>
  </si>
  <si>
    <t>敏翔</t>
  </si>
  <si>
    <t>盛浩-南</t>
  </si>
  <si>
    <t>統一</t>
  </si>
  <si>
    <t>統一實業</t>
  </si>
  <si>
    <t>新元豪</t>
  </si>
  <si>
    <t>新進</t>
  </si>
  <si>
    <t>維達</t>
  </si>
  <si>
    <t>豪堤</t>
  </si>
  <si>
    <t>銘岱</t>
  </si>
  <si>
    <t>銘機</t>
  </si>
  <si>
    <t>緯恩</t>
  </si>
  <si>
    <t>龍鋒科技</t>
  </si>
  <si>
    <t>璨揚</t>
  </si>
  <si>
    <t>聯電</t>
  </si>
  <si>
    <t>聯豪</t>
  </si>
  <si>
    <t>雙穩健-南</t>
  </si>
  <si>
    <t>競陽清潔</t>
  </si>
  <si>
    <t>盧昱愷</t>
  </si>
  <si>
    <t>林壬杰</t>
  </si>
  <si>
    <t>許靜修</t>
  </si>
  <si>
    <t>陳家霖</t>
  </si>
  <si>
    <t>加總 - 銷貨淨額</t>
  </si>
  <si>
    <t>加總 - 毛利金額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</si>
</sst>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_);\(&quot;NT$&quot;#,##0\)"/>
    <numFmt numFmtId="177" formatCode="&quot;NT$&quot;#,##0"/>
    <numFmt numFmtId="178" formatCode="#,##0_ "/>
    <numFmt numFmtId="179" formatCode="[$-409]d\-mmm;@"/>
    <numFmt numFmtId="180" formatCode="_ * #,##0.00_ ;_ * \-#,##0.00_ ;_ * &quot;-&quot;??_ ;_ @_ "/>
    <numFmt numFmtId="181" formatCode="_-* #,##0_-;\-* #,##0_-;_-* &quot;-&quot;??_-;_-@_-"/>
    <numFmt numFmtId="182" formatCode="##,##0_ ;\-##,##0\ "/>
    <numFmt numFmtId="183" formatCode="#,##0_);[Red]\(#,##0\)"/>
  </numFmts>
  <fonts count="6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b/>
      <sz val="18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標楷體"/>
      <family val="4"/>
      <charset val="136"/>
    </font>
    <font>
      <sz val="9"/>
      <name val="新細明體"/>
      <family val="1"/>
      <charset val="136"/>
    </font>
    <font>
      <b/>
      <sz val="14"/>
      <color indexed="10"/>
      <name val="標楷體"/>
      <family val="4"/>
      <charset val="136"/>
    </font>
    <font>
      <b/>
      <sz val="14"/>
      <color indexed="12"/>
      <name val="標楷體"/>
      <family val="4"/>
      <charset val="136"/>
    </font>
    <font>
      <sz val="10"/>
      <name val="Calibri"/>
      <family val="2"/>
    </font>
    <font>
      <sz val="12"/>
      <name val="Calibr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4"/>
      <color indexed="62"/>
      <name val="Calibri"/>
      <family val="2"/>
    </font>
    <font>
      <b/>
      <sz val="18"/>
      <color indexed="10"/>
      <name val="標楷體"/>
      <family val="4"/>
      <charset val="136"/>
    </font>
    <font>
      <sz val="16"/>
      <name val="Calibri"/>
      <family val="2"/>
    </font>
    <font>
      <b/>
      <sz val="28"/>
      <name val="標楷體"/>
      <family val="4"/>
      <charset val="136"/>
    </font>
    <font>
      <b/>
      <sz val="28"/>
      <name val="Calibri"/>
      <family val="2"/>
    </font>
    <font>
      <b/>
      <sz val="24"/>
      <name val="Calibri"/>
      <family val="2"/>
    </font>
    <font>
      <b/>
      <sz val="24"/>
      <name val="標楷體"/>
      <family val="4"/>
      <charset val="136"/>
    </font>
    <font>
      <sz val="12"/>
      <name val="新細明體"/>
      <family val="1"/>
      <charset val="136"/>
    </font>
    <font>
      <sz val="9"/>
      <name val="宋体"/>
      <family val="3"/>
      <charset val="136"/>
    </font>
    <font>
      <sz val="10"/>
      <color indexed="8"/>
      <name val="Arial"/>
      <family val="2"/>
    </font>
    <font>
      <b/>
      <sz val="12"/>
      <name val="標楷體"/>
      <family val="4"/>
      <charset val="136"/>
    </font>
    <font>
      <sz val="12"/>
      <color indexed="9"/>
      <name val="Arial"/>
      <family val="2"/>
    </font>
    <font>
      <sz val="12"/>
      <color indexed="8"/>
      <name val="Arial"/>
      <family val="2"/>
    </font>
    <font>
      <sz val="12"/>
      <color indexed="8"/>
      <name val="細明體"/>
      <family val="3"/>
      <charset val="136"/>
    </font>
    <font>
      <sz val="14"/>
      <color indexed="8"/>
      <name val="標楷體"/>
      <family val="4"/>
      <charset val="136"/>
    </font>
    <font>
      <sz val="14"/>
      <color indexed="8"/>
      <name val="Arial"/>
      <family val="2"/>
    </font>
    <font>
      <b/>
      <sz val="14"/>
      <color indexed="8"/>
      <name val="標楷體"/>
      <family val="4"/>
      <charset val="136"/>
    </font>
    <font>
      <sz val="12"/>
      <name val="標楷體"/>
      <family val="4"/>
      <charset val="136"/>
    </font>
    <font>
      <u/>
      <sz val="12"/>
      <color theme="10"/>
      <name val="新細明體"/>
      <family val="1"/>
      <charset val="136"/>
    </font>
    <font>
      <b/>
      <sz val="20"/>
      <color rgb="FF0000FF"/>
      <name val="Calibri"/>
      <family val="2"/>
    </font>
    <font>
      <b/>
      <sz val="16"/>
      <color rgb="FFFF0000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8"/>
      <name val="Calibri"/>
      <family val="4"/>
      <charset val="136"/>
    </font>
    <font>
      <b/>
      <sz val="16"/>
      <color rgb="FF0000FF"/>
      <name val="標楷體"/>
      <family val="4"/>
      <charset val="136"/>
    </font>
    <font>
      <b/>
      <sz val="14"/>
      <color rgb="FF0000FF"/>
      <name val="標楷體"/>
      <family val="4"/>
      <charset val="136"/>
    </font>
    <font>
      <b/>
      <sz val="14"/>
      <color rgb="FF0000FF"/>
      <name val="Calibri"/>
      <family val="2"/>
    </font>
    <font>
      <sz val="9"/>
      <name val="新細明體"/>
      <family val="2"/>
      <charset val="136"/>
      <scheme val="minor"/>
    </font>
    <font>
      <b/>
      <sz val="14"/>
      <color theme="1"/>
      <name val="標楷體"/>
      <family val="4"/>
      <charset val="136"/>
    </font>
    <font>
      <b/>
      <sz val="14"/>
      <color theme="1"/>
      <name val="Calibri"/>
      <family val="2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標楷體"/>
      <family val="4"/>
    </font>
    <font>
      <b/>
      <sz val="12"/>
      <color theme="1"/>
      <name val="Calibri"/>
      <family val="2"/>
    </font>
    <font>
      <b/>
      <sz val="16"/>
      <color rgb="FFFF0000"/>
      <name val="細明體"/>
      <family val="3"/>
      <charset val="136"/>
    </font>
    <font>
      <b/>
      <sz val="16"/>
      <color rgb="FFFF0000"/>
      <name val="Calibri"/>
      <family val="2"/>
    </font>
    <font>
      <b/>
      <sz val="12"/>
      <color rgb="FF0000FF"/>
      <name val="Calibri"/>
      <family val="2"/>
    </font>
    <font>
      <b/>
      <sz val="24"/>
      <name val="Calibri"/>
      <family val="4"/>
      <charset val="136"/>
    </font>
    <font>
      <sz val="12"/>
      <name val="Arial"/>
      <family val="2"/>
    </font>
    <font>
      <b/>
      <sz val="16"/>
      <name val="細明體"/>
      <family val="2"/>
      <charset val="136"/>
    </font>
    <font>
      <sz val="10"/>
      <name val="Arial"/>
      <family val="2"/>
    </font>
    <font>
      <sz val="11"/>
      <name val="Microsoft JhengHei"/>
      <family val="2"/>
    </font>
    <font>
      <sz val="11"/>
      <name val="Arial"/>
      <family val="2"/>
    </font>
    <font>
      <sz val="11"/>
      <name val="新細明體"/>
      <family val="1"/>
      <charset val="136"/>
    </font>
    <font>
      <b/>
      <sz val="16"/>
      <name val="Calibri"/>
      <family val="4"/>
    </font>
    <font>
      <b/>
      <sz val="24"/>
      <name val="Microsoft JhengHei"/>
      <family val="4"/>
    </font>
    <font>
      <sz val="9"/>
      <name val="Arial"/>
      <family val="2"/>
    </font>
    <font>
      <sz val="11"/>
      <color theme="1"/>
      <name val="Arial"/>
      <family val="2"/>
    </font>
    <font>
      <sz val="11"/>
      <name val="細明體"/>
      <family val="2"/>
      <charset val="136"/>
    </font>
    <font>
      <sz val="9"/>
      <color theme="1"/>
      <name val="Arial"/>
      <family val="2"/>
    </font>
    <font>
      <sz val="12"/>
      <color rgb="FFFF00FF"/>
      <name val="新細明體"/>
      <family val="1"/>
      <charset val="136"/>
    </font>
    <font>
      <sz val="12"/>
      <color rgb="FFFF00FF"/>
      <name val="細明體"/>
      <family val="3"/>
      <charset val="136"/>
    </font>
    <font>
      <sz val="12"/>
      <name val="細明體"/>
      <family val="3"/>
      <charset val="136"/>
    </font>
    <font>
      <sz val="11"/>
      <color theme="1"/>
      <name val="Microsoft JhengHei"/>
      <family val="2"/>
    </font>
    <font>
      <sz val="11"/>
      <color theme="1"/>
      <name val="Microsoft JhengHe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09">
    <border>
      <left/>
      <right/>
      <top/>
      <bottom/>
      <diagonal/>
    </border>
    <border>
      <left/>
      <right style="medium">
        <color indexed="8"/>
      </right>
      <top style="double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12"/>
      </top>
      <bottom style="medium">
        <color indexed="8"/>
      </bottom>
      <diagonal/>
    </border>
    <border>
      <left style="medium">
        <color indexed="8"/>
      </left>
      <right/>
      <top style="double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double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double">
        <color indexed="12"/>
      </right>
      <top style="double">
        <color indexed="12"/>
      </top>
      <bottom style="medium">
        <color indexed="8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 style="thin">
        <color indexed="64"/>
      </right>
      <top style="thick">
        <color indexed="1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12"/>
      </top>
      <bottom style="thin">
        <color indexed="64"/>
      </bottom>
      <diagonal/>
    </border>
    <border>
      <left style="thin">
        <color indexed="64"/>
      </left>
      <right style="thick">
        <color indexed="12"/>
      </right>
      <top style="thick">
        <color indexed="12"/>
      </top>
      <bottom style="thin">
        <color indexed="64"/>
      </bottom>
      <diagonal/>
    </border>
    <border>
      <left style="thick">
        <color indexed="1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 style="thin">
        <color indexed="64"/>
      </right>
      <top style="thin">
        <color indexed="64"/>
      </top>
      <bottom style="thick">
        <color indexed="12"/>
      </bottom>
      <diagonal/>
    </border>
    <border>
      <left style="thin">
        <color indexed="64"/>
      </left>
      <right/>
      <top style="thin">
        <color indexed="64"/>
      </top>
      <bottom style="thick">
        <color indexed="12"/>
      </bottom>
      <diagonal/>
    </border>
    <border>
      <left/>
      <right style="thin">
        <color indexed="64"/>
      </right>
      <top style="thin">
        <color indexed="64"/>
      </top>
      <bottom style="thick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2"/>
      </bottom>
      <diagonal/>
    </border>
    <border>
      <left style="thin">
        <color indexed="64"/>
      </left>
      <right style="thick">
        <color indexed="1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2"/>
      </right>
      <top style="thin">
        <color indexed="64"/>
      </top>
      <bottom style="thick">
        <color indexed="12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double">
        <color rgb="FF0000FF"/>
      </top>
      <bottom style="medium">
        <color indexed="8"/>
      </bottom>
      <diagonal/>
    </border>
    <border>
      <left/>
      <right style="medium">
        <color indexed="8"/>
      </right>
      <top style="double">
        <color rgb="FF0000FF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rgb="FF0000FF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double">
        <color rgb="FF0000FF"/>
      </bottom>
      <diagonal/>
    </border>
    <border>
      <left style="medium">
        <color indexed="8"/>
      </left>
      <right/>
      <top/>
      <bottom style="double">
        <color rgb="FF0000FF"/>
      </bottom>
      <diagonal/>
    </border>
    <border>
      <left/>
      <right style="double">
        <color rgb="FF0000FF"/>
      </right>
      <top/>
      <bottom style="double">
        <color rgb="FF0000FF"/>
      </bottom>
      <diagonal/>
    </border>
    <border>
      <left style="double">
        <color rgb="FF0000FF"/>
      </left>
      <right/>
      <top/>
      <bottom/>
      <diagonal/>
    </border>
    <border>
      <left style="double">
        <color rgb="FF0000FF"/>
      </left>
      <right style="medium">
        <color indexed="8"/>
      </right>
      <top style="double">
        <color rgb="FF0000FF"/>
      </top>
      <bottom style="medium">
        <color indexed="8"/>
      </bottom>
      <diagonal/>
    </border>
    <border>
      <left style="double">
        <color rgb="FF0000FF"/>
      </left>
      <right style="medium">
        <color indexed="8"/>
      </right>
      <top/>
      <bottom/>
      <diagonal/>
    </border>
    <border>
      <left style="double">
        <color rgb="FF0000FF"/>
      </left>
      <right style="medium">
        <color indexed="8"/>
      </right>
      <top/>
      <bottom style="double">
        <color rgb="FF0000FF"/>
      </bottom>
      <diagonal/>
    </border>
    <border>
      <left style="double">
        <color indexed="12"/>
      </left>
      <right style="medium">
        <color indexed="8"/>
      </right>
      <top style="double">
        <color indexed="12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/>
      <top style="double">
        <color indexed="12"/>
      </top>
      <bottom/>
      <diagonal/>
    </border>
    <border>
      <left/>
      <right style="medium">
        <color indexed="8"/>
      </right>
      <top style="double">
        <color indexed="12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double">
        <color rgb="FF0000FF"/>
      </left>
      <right style="medium">
        <color indexed="64"/>
      </right>
      <top/>
      <bottom style="medium">
        <color indexed="64"/>
      </bottom>
      <diagonal/>
    </border>
    <border>
      <left style="double">
        <color rgb="FF0000FF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rgb="FF0000FF"/>
      </bottom>
      <diagonal/>
    </border>
    <border>
      <left style="medium">
        <color indexed="64"/>
      </left>
      <right style="medium">
        <color indexed="8"/>
      </right>
      <top/>
      <bottom style="double">
        <color rgb="FF0000FF"/>
      </bottom>
      <diagonal/>
    </border>
    <border>
      <left/>
      <right style="medium">
        <color indexed="8"/>
      </right>
      <top style="double">
        <color rgb="FF0000FF"/>
      </top>
      <bottom/>
      <diagonal/>
    </border>
    <border>
      <left style="medium">
        <color indexed="8"/>
      </left>
      <right style="medium">
        <color indexed="8"/>
      </right>
      <top style="double">
        <color rgb="FF0000F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double">
        <color rgb="FF0000FF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double">
        <color indexed="1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double">
        <color indexed="12"/>
      </right>
      <top style="medium">
        <color indexed="8"/>
      </top>
      <bottom style="medium">
        <color indexed="8"/>
      </bottom>
      <diagonal/>
    </border>
    <border>
      <left style="double">
        <color indexed="12"/>
      </left>
      <right style="medium">
        <color indexed="8"/>
      </right>
      <top style="medium">
        <color indexed="8"/>
      </top>
      <bottom style="double">
        <color indexed="12"/>
      </bottom>
      <diagonal/>
    </border>
    <border>
      <left style="double">
        <color indexed="1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double">
        <color rgb="FF0000FF"/>
      </right>
      <top/>
      <bottom/>
      <diagonal/>
    </border>
    <border>
      <left style="double">
        <color rgb="FF0000FF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rgb="FF0000FF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indexed="12"/>
      </left>
      <right style="medium">
        <color auto="1"/>
      </right>
      <top style="double">
        <color indexed="1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indexed="12"/>
      </top>
      <bottom style="medium">
        <color auto="1"/>
      </bottom>
      <diagonal/>
    </border>
    <border>
      <left style="medium">
        <color auto="1"/>
      </left>
      <right style="double">
        <color indexed="12"/>
      </right>
      <top style="double">
        <color indexed="12"/>
      </top>
      <bottom style="medium">
        <color auto="1"/>
      </bottom>
      <diagonal/>
    </border>
    <border>
      <left style="medium">
        <color auto="1"/>
      </left>
      <right style="double">
        <color indexed="12"/>
      </right>
      <top style="medium">
        <color auto="1"/>
      </top>
      <bottom style="medium">
        <color auto="1"/>
      </bottom>
      <diagonal/>
    </border>
    <border>
      <left style="double">
        <color indexed="12"/>
      </left>
      <right style="medium">
        <color auto="1"/>
      </right>
      <top style="medium">
        <color auto="1"/>
      </top>
      <bottom style="double">
        <color indexed="1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indexed="12"/>
      </bottom>
      <diagonal/>
    </border>
    <border>
      <left style="medium">
        <color auto="1"/>
      </left>
      <right style="double">
        <color indexed="12"/>
      </right>
      <top style="medium">
        <color auto="1"/>
      </top>
      <bottom style="double">
        <color indexed="12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</borders>
  <cellStyleXfs count="2602"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43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3" fillId="0" borderId="0"/>
  </cellStyleXfs>
  <cellXfs count="320">
    <xf numFmtId="0" fontId="0" fillId="0" borderId="0" xfId="0">
      <alignment vertical="center"/>
    </xf>
    <xf numFmtId="0" fontId="31" fillId="3" borderId="69" xfId="0" applyFont="1" applyFill="1" applyBorder="1" applyAlignment="1" applyProtection="1">
      <alignment horizontal="center" vertical="center"/>
      <protection locked="0"/>
    </xf>
    <xf numFmtId="9" fontId="31" fillId="0" borderId="69" xfId="0" applyNumberFormat="1" applyFont="1" applyBorder="1" applyAlignment="1" applyProtection="1">
      <alignment horizontal="center" vertical="center"/>
      <protection locked="0"/>
    </xf>
    <xf numFmtId="0" fontId="31" fillId="3" borderId="69" xfId="0" applyFont="1" applyFill="1" applyBorder="1" applyAlignment="1" applyProtection="1">
      <alignment horizontal="left" vertical="center"/>
      <protection locked="0"/>
    </xf>
    <xf numFmtId="0" fontId="31" fillId="3" borderId="13" xfId="0" applyFont="1" applyFill="1" applyBorder="1" applyAlignment="1" applyProtection="1">
      <alignment horizontal="left" vertical="center"/>
      <protection locked="0"/>
    </xf>
    <xf numFmtId="9" fontId="31" fillId="0" borderId="1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1" fillId="2" borderId="39" xfId="0" applyFont="1" applyFill="1" applyBorder="1" applyAlignment="1" applyProtection="1">
      <alignment horizontal="center" vertical="center" wrapText="1"/>
      <protection locked="0"/>
    </xf>
    <xf numFmtId="0" fontId="11" fillId="0" borderId="59" xfId="0" applyFont="1" applyBorder="1" applyAlignment="1" applyProtection="1">
      <alignment horizontal="center" vertical="center" wrapText="1"/>
      <protection locked="0"/>
    </xf>
    <xf numFmtId="0" fontId="11" fillId="0" borderId="65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1" fillId="0" borderId="66" xfId="0" applyFont="1" applyBorder="1" applyAlignment="1" applyProtection="1">
      <alignment horizontal="center" wrapText="1"/>
      <protection locked="0"/>
    </xf>
    <xf numFmtId="0" fontId="9" fillId="0" borderId="0" xfId="0" applyFont="1" applyAlignment="1" applyProtection="1">
      <alignment horizontal="justify" vertical="center"/>
      <protection locked="0"/>
    </xf>
    <xf numFmtId="0" fontId="36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1" fillId="2" borderId="36" xfId="0" applyFont="1" applyFill="1" applyBorder="1" applyAlignment="1" applyProtection="1">
      <alignment horizontal="center" vertical="center" wrapText="1"/>
      <protection locked="0"/>
    </xf>
    <xf numFmtId="0" fontId="11" fillId="2" borderId="30" xfId="0" applyFont="1" applyFill="1" applyBorder="1" applyAlignment="1" applyProtection="1">
      <alignment horizontal="center" vertical="center" wrapText="1"/>
      <protection locked="0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Border="1" applyProtection="1">
      <alignment vertical="center"/>
      <protection locked="0"/>
    </xf>
    <xf numFmtId="0" fontId="4" fillId="0" borderId="46" xfId="0" applyFont="1" applyBorder="1" applyAlignment="1" applyProtection="1">
      <alignment horizontal="center" vertical="top" wrapText="1"/>
      <protection locked="0"/>
    </xf>
    <xf numFmtId="0" fontId="12" fillId="0" borderId="45" xfId="0" applyFont="1" applyBorder="1" applyAlignment="1" applyProtection="1">
      <alignment horizontal="center" vertical="top" wrapText="1"/>
      <protection locked="0"/>
    </xf>
    <xf numFmtId="0" fontId="3" fillId="0" borderId="46" xfId="0" applyFont="1" applyBorder="1" applyAlignment="1" applyProtection="1">
      <alignment horizontal="center" vertical="top" wrapText="1"/>
      <protection locked="0"/>
    </xf>
    <xf numFmtId="0" fontId="3" fillId="0" borderId="37" xfId="0" applyFont="1" applyBorder="1" applyAlignment="1" applyProtection="1">
      <alignment horizontal="center" vertical="center" wrapText="1"/>
      <protection locked="0"/>
    </xf>
    <xf numFmtId="0" fontId="11" fillId="0" borderId="38" xfId="0" applyFont="1" applyBorder="1" applyAlignment="1" applyProtection="1">
      <alignment horizontal="center" vertical="top" wrapText="1"/>
      <protection locked="0"/>
    </xf>
    <xf numFmtId="0" fontId="11" fillId="0" borderId="35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32" fillId="0" borderId="0" xfId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180" fontId="23" fillId="0" borderId="0" xfId="0" applyNumberFormat="1" applyFont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180" fontId="23" fillId="0" borderId="12" xfId="0" applyNumberFormat="1" applyFont="1" applyBorder="1" applyProtection="1">
      <alignment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4" fillId="2" borderId="16" xfId="0" applyFont="1" applyFill="1" applyBorder="1" applyAlignment="1" applyProtection="1">
      <alignment horizontal="center" vertical="center" wrapText="1"/>
      <protection locked="0"/>
    </xf>
    <xf numFmtId="0" fontId="24" fillId="2" borderId="17" xfId="0" applyFont="1" applyFill="1" applyBorder="1" applyAlignment="1" applyProtection="1">
      <alignment horizontal="center" vertical="center" wrapText="1"/>
      <protection locked="0"/>
    </xf>
    <xf numFmtId="0" fontId="24" fillId="2" borderId="17" xfId="0" applyFont="1" applyFill="1" applyBorder="1" applyAlignment="1" applyProtection="1">
      <alignment vertical="center" wrapText="1"/>
      <protection locked="0"/>
    </xf>
    <xf numFmtId="0" fontId="24" fillId="2" borderId="18" xfId="0" applyFont="1" applyFill="1" applyBorder="1" applyAlignment="1" applyProtection="1">
      <alignment horizontal="center" vertical="center" wrapText="1"/>
      <protection locked="0"/>
    </xf>
    <xf numFmtId="0" fontId="28" fillId="0" borderId="19" xfId="0" applyFont="1" applyBorder="1" applyAlignment="1" applyProtection="1">
      <alignment horizontal="center" vertical="center"/>
      <protection locked="0"/>
    </xf>
    <xf numFmtId="0" fontId="29" fillId="0" borderId="13" xfId="0" applyFont="1" applyBorder="1" applyAlignment="1" applyProtection="1">
      <alignment horizontal="center" wrapText="1" readingOrder="1"/>
      <protection locked="0"/>
    </xf>
    <xf numFmtId="179" fontId="29" fillId="0" borderId="13" xfId="0" applyNumberFormat="1" applyFont="1" applyBorder="1" applyAlignment="1" applyProtection="1">
      <alignment horizontal="center" wrapText="1" readingOrder="1"/>
      <protection locked="0"/>
    </xf>
    <xf numFmtId="16" fontId="29" fillId="0" borderId="13" xfId="0" applyNumberFormat="1" applyFont="1" applyBorder="1" applyAlignment="1" applyProtection="1">
      <alignment horizontal="center" wrapText="1" readingOrder="1"/>
      <protection locked="0"/>
    </xf>
    <xf numFmtId="3" fontId="29" fillId="0" borderId="13" xfId="0" applyNumberFormat="1" applyFont="1" applyBorder="1" applyAlignment="1" applyProtection="1">
      <alignment horizontal="center" wrapText="1" readingOrder="1"/>
      <protection locked="0"/>
    </xf>
    <xf numFmtId="9" fontId="29" fillId="0" borderId="13" xfId="0" applyNumberFormat="1" applyFont="1" applyBorder="1" applyAlignment="1" applyProtection="1">
      <alignment horizontal="center" wrapText="1" readingOrder="1"/>
      <protection locked="0"/>
    </xf>
    <xf numFmtId="178" fontId="29" fillId="0" borderId="24" xfId="0" applyNumberFormat="1" applyFont="1" applyBorder="1" applyAlignment="1" applyProtection="1">
      <alignment horizontal="center" wrapText="1" readingOrder="1"/>
      <protection locked="0"/>
    </xf>
    <xf numFmtId="0" fontId="25" fillId="0" borderId="19" xfId="0" applyFont="1" applyBorder="1" applyAlignment="1" applyProtection="1">
      <alignment horizontal="center" vertical="center"/>
      <protection locked="0"/>
    </xf>
    <xf numFmtId="0" fontId="26" fillId="0" borderId="13" xfId="0" applyFont="1" applyBorder="1" applyAlignment="1" applyProtection="1">
      <alignment horizontal="center" wrapText="1" readingOrder="1"/>
      <protection locked="0"/>
    </xf>
    <xf numFmtId="179" fontId="26" fillId="0" borderId="13" xfId="0" applyNumberFormat="1" applyFont="1" applyBorder="1" applyAlignment="1" applyProtection="1">
      <alignment horizontal="center" wrapText="1" readingOrder="1"/>
      <protection locked="0"/>
    </xf>
    <xf numFmtId="16" fontId="26" fillId="0" borderId="13" xfId="0" applyNumberFormat="1" applyFont="1" applyBorder="1" applyAlignment="1" applyProtection="1">
      <alignment horizontal="center" wrapText="1" readingOrder="1"/>
      <protection locked="0"/>
    </xf>
    <xf numFmtId="3" fontId="26" fillId="0" borderId="13" xfId="0" applyNumberFormat="1" applyFont="1" applyBorder="1" applyAlignment="1" applyProtection="1">
      <alignment horizontal="center" wrapText="1" readingOrder="1"/>
      <protection locked="0"/>
    </xf>
    <xf numFmtId="9" fontId="26" fillId="0" borderId="24" xfId="0" applyNumberFormat="1" applyFont="1" applyBorder="1" applyAlignment="1" applyProtection="1">
      <alignment horizontal="center" wrapText="1" readingOrder="1"/>
      <protection locked="0"/>
    </xf>
    <xf numFmtId="9" fontId="9" fillId="0" borderId="0" xfId="5" applyFont="1" applyProtection="1">
      <alignment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26" fillId="0" borderId="23" xfId="0" applyFont="1" applyBorder="1" applyAlignment="1" applyProtection="1">
      <alignment horizontal="center" wrapText="1" readingOrder="1"/>
      <protection locked="0"/>
    </xf>
    <xf numFmtId="179" fontId="26" fillId="0" borderId="23" xfId="0" applyNumberFormat="1" applyFont="1" applyBorder="1" applyAlignment="1" applyProtection="1">
      <alignment horizontal="center" wrapText="1" readingOrder="1"/>
      <protection locked="0"/>
    </xf>
    <xf numFmtId="16" fontId="26" fillId="0" borderId="23" xfId="0" applyNumberFormat="1" applyFont="1" applyBorder="1" applyAlignment="1" applyProtection="1">
      <alignment horizontal="center" wrapText="1" readingOrder="1"/>
      <protection locked="0"/>
    </xf>
    <xf numFmtId="3" fontId="26" fillId="0" borderId="23" xfId="0" applyNumberFormat="1" applyFont="1" applyBorder="1" applyAlignment="1" applyProtection="1">
      <alignment horizontal="center" wrapText="1" readingOrder="1"/>
      <protection locked="0"/>
    </xf>
    <xf numFmtId="9" fontId="26" fillId="0" borderId="25" xfId="0" applyNumberFormat="1" applyFont="1" applyBorder="1" applyAlignment="1" applyProtection="1">
      <alignment horizontal="center" wrapText="1" readingOrder="1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wrapText="1" readingOrder="1"/>
      <protection locked="0"/>
    </xf>
    <xf numFmtId="0" fontId="26" fillId="0" borderId="0" xfId="0" applyFont="1" applyAlignment="1" applyProtection="1">
      <alignment horizontal="center" wrapText="1" readingOrder="1"/>
      <protection locked="0"/>
    </xf>
    <xf numFmtId="179" fontId="26" fillId="0" borderId="0" xfId="0" applyNumberFormat="1" applyFont="1" applyAlignment="1" applyProtection="1">
      <alignment horizontal="center" wrapText="1" readingOrder="1"/>
      <protection locked="0"/>
    </xf>
    <xf numFmtId="16" fontId="26" fillId="0" borderId="0" xfId="0" applyNumberFormat="1" applyFont="1" applyAlignment="1" applyProtection="1">
      <alignment horizontal="center" wrapText="1" readingOrder="1"/>
      <protection locked="0"/>
    </xf>
    <xf numFmtId="3" fontId="26" fillId="0" borderId="0" xfId="0" applyNumberFormat="1" applyFont="1" applyAlignment="1" applyProtection="1">
      <alignment horizontal="center" wrapText="1" readingOrder="1"/>
      <protection locked="0"/>
    </xf>
    <xf numFmtId="9" fontId="26" fillId="0" borderId="0" xfId="0" applyNumberFormat="1" applyFont="1" applyAlignment="1" applyProtection="1">
      <alignment horizontal="center" wrapText="1" readingOrder="1"/>
      <protection locked="0"/>
    </xf>
    <xf numFmtId="0" fontId="30" fillId="0" borderId="19" xfId="0" applyFont="1" applyBorder="1" applyAlignment="1" applyProtection="1">
      <alignment horizontal="center" vertical="center"/>
      <protection locked="0"/>
    </xf>
    <xf numFmtId="3" fontId="28" fillId="0" borderId="13" xfId="0" applyNumberFormat="1" applyFont="1" applyBorder="1" applyAlignment="1" applyProtection="1">
      <alignment horizontal="center" wrapText="1" readingOrder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12" fillId="0" borderId="13" xfId="0" applyFont="1" applyBorder="1" applyAlignment="1" applyProtection="1">
      <alignment vertical="center" wrapText="1"/>
      <protection locked="0"/>
    </xf>
    <xf numFmtId="177" fontId="12" fillId="0" borderId="13" xfId="0" applyNumberFormat="1" applyFont="1" applyBorder="1" applyAlignment="1" applyProtection="1">
      <alignment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39" fillId="0" borderId="13" xfId="0" applyFont="1" applyBorder="1" applyAlignment="1" applyProtection="1">
      <alignment vertical="center" wrapText="1"/>
      <protection locked="0"/>
    </xf>
    <xf numFmtId="0" fontId="39" fillId="0" borderId="13" xfId="0" applyFont="1" applyBorder="1" applyAlignment="1" applyProtection="1">
      <alignment horizontal="center" vertical="center" wrapText="1"/>
      <protection locked="0"/>
    </xf>
    <xf numFmtId="0" fontId="42" fillId="0" borderId="13" xfId="0" applyFont="1" applyBorder="1" applyAlignment="1" applyProtection="1">
      <alignment vertical="center" wrapText="1"/>
      <protection locked="0"/>
    </xf>
    <xf numFmtId="0" fontId="42" fillId="0" borderId="13" xfId="0" applyFont="1" applyBorder="1" applyAlignment="1" applyProtection="1">
      <alignment horizontal="center" vertical="center" wrapText="1"/>
      <protection locked="0"/>
    </xf>
    <xf numFmtId="0" fontId="12" fillId="2" borderId="70" xfId="0" applyFont="1" applyFill="1" applyBorder="1" applyAlignment="1" applyProtection="1">
      <alignment horizontal="center" vertical="center" wrapText="1"/>
      <protection locked="0"/>
    </xf>
    <xf numFmtId="0" fontId="12" fillId="2" borderId="71" xfId="0" applyFont="1" applyFill="1" applyBorder="1" applyAlignment="1" applyProtection="1">
      <alignment vertical="center" wrapText="1"/>
      <protection locked="0"/>
    </xf>
    <xf numFmtId="0" fontId="12" fillId="0" borderId="74" xfId="0" applyFont="1" applyBorder="1" applyAlignment="1" applyProtection="1">
      <alignment horizontal="center" vertical="center" wrapText="1"/>
      <protection locked="0"/>
    </xf>
    <xf numFmtId="0" fontId="39" fillId="0" borderId="74" xfId="0" applyFont="1" applyBorder="1" applyAlignment="1" applyProtection="1">
      <alignment horizontal="center" vertical="center" wrapText="1"/>
      <protection locked="0"/>
    </xf>
    <xf numFmtId="0" fontId="42" fillId="0" borderId="74" xfId="0" applyFont="1" applyBorder="1" applyAlignment="1" applyProtection="1">
      <alignment horizontal="center" vertical="center" wrapText="1"/>
      <protection locked="0"/>
    </xf>
    <xf numFmtId="0" fontId="42" fillId="0" borderId="76" xfId="0" applyFont="1" applyBorder="1" applyAlignment="1" applyProtection="1">
      <alignment vertical="center" wrapText="1"/>
      <protection locked="0"/>
    </xf>
    <xf numFmtId="177" fontId="12" fillId="0" borderId="76" xfId="0" applyNumberFormat="1" applyFont="1" applyBorder="1" applyAlignment="1" applyProtection="1">
      <alignment vertical="center" wrapText="1"/>
      <protection locked="0"/>
    </xf>
    <xf numFmtId="0" fontId="42" fillId="0" borderId="77" xfId="0" applyFont="1" applyBorder="1" applyAlignment="1" applyProtection="1">
      <alignment horizontal="center" vertical="center" wrapText="1"/>
      <protection locked="0"/>
    </xf>
    <xf numFmtId="0" fontId="42" fillId="0" borderId="76" xfId="0" applyFont="1" applyBorder="1" applyAlignment="1" applyProtection="1">
      <alignment horizontal="center" vertical="center" wrapText="1"/>
      <protection locked="0"/>
    </xf>
    <xf numFmtId="0" fontId="42" fillId="0" borderId="14" xfId="0" applyFont="1" applyBorder="1" applyAlignment="1" applyProtection="1">
      <alignment horizontal="center" vertical="center" wrapText="1"/>
      <protection locked="0"/>
    </xf>
    <xf numFmtId="0" fontId="42" fillId="0" borderId="15" xfId="0" applyFont="1" applyBorder="1" applyAlignment="1" applyProtection="1">
      <alignment horizontal="center" vertical="center" wrapText="1"/>
      <protection locked="0"/>
    </xf>
    <xf numFmtId="0" fontId="42" fillId="0" borderId="80" xfId="0" applyFont="1" applyBorder="1" applyAlignment="1" applyProtection="1">
      <alignment horizontal="center" vertical="center" wrapText="1"/>
      <protection locked="0"/>
    </xf>
    <xf numFmtId="0" fontId="42" fillId="0" borderId="69" xfId="0" applyFont="1" applyBorder="1" applyAlignment="1" applyProtection="1">
      <alignment horizontal="center" vertical="center" wrapText="1"/>
      <protection locked="0"/>
    </xf>
    <xf numFmtId="14" fontId="12" fillId="0" borderId="13" xfId="0" applyNumberFormat="1" applyFont="1" applyBorder="1" applyAlignment="1" applyProtection="1">
      <alignment horizontal="center" vertical="center" wrapText="1"/>
      <protection locked="0"/>
    </xf>
    <xf numFmtId="14" fontId="39" fillId="0" borderId="13" xfId="0" applyNumberFormat="1" applyFont="1" applyBorder="1" applyAlignment="1" applyProtection="1">
      <alignment horizontal="center" vertical="center" wrapText="1"/>
      <protection locked="0"/>
    </xf>
    <xf numFmtId="0" fontId="31" fillId="0" borderId="0" xfId="0" applyFont="1" applyAlignment="1">
      <alignment horizontal="left" vertical="center"/>
    </xf>
    <xf numFmtId="181" fontId="0" fillId="0" borderId="0" xfId="7" applyNumberFormat="1" applyFont="1">
      <alignment vertical="center"/>
    </xf>
    <xf numFmtId="9" fontId="4" fillId="0" borderId="0" xfId="0" applyNumberFormat="1" applyFont="1" applyAlignment="1">
      <alignment vertical="center" wrapText="1"/>
    </xf>
    <xf numFmtId="9" fontId="24" fillId="0" borderId="0" xfId="0" applyNumberFormat="1" applyFont="1" applyAlignment="1" applyProtection="1">
      <alignment vertical="center" wrapText="1"/>
      <protection locked="0"/>
    </xf>
    <xf numFmtId="9" fontId="38" fillId="0" borderId="0" xfId="0" applyNumberFormat="1" applyFont="1" applyAlignment="1">
      <alignment vertical="center" wrapText="1"/>
    </xf>
    <xf numFmtId="9" fontId="9" fillId="0" borderId="0" xfId="5" applyFont="1" applyBorder="1" applyProtection="1">
      <alignment vertical="center"/>
      <protection locked="0"/>
    </xf>
    <xf numFmtId="0" fontId="45" fillId="0" borderId="0" xfId="0" applyFont="1">
      <alignment vertical="center"/>
    </xf>
    <xf numFmtId="181" fontId="45" fillId="0" borderId="0" xfId="0" applyNumberFormat="1" applyFont="1">
      <alignment vertical="center"/>
    </xf>
    <xf numFmtId="0" fontId="45" fillId="0" borderId="0" xfId="0" applyFont="1" applyAlignment="1">
      <alignment horizontal="left" vertical="center"/>
    </xf>
    <xf numFmtId="177" fontId="39" fillId="0" borderId="13" xfId="0" applyNumberFormat="1" applyFont="1" applyBorder="1" applyAlignment="1" applyProtection="1">
      <alignment vertical="center" wrapText="1"/>
      <protection locked="0"/>
    </xf>
    <xf numFmtId="0" fontId="46" fillId="0" borderId="80" xfId="0" applyFont="1" applyBorder="1" applyAlignment="1" applyProtection="1">
      <alignment horizontal="center" vertical="center" wrapText="1"/>
      <protection locked="0"/>
    </xf>
    <xf numFmtId="0" fontId="12" fillId="2" borderId="71" xfId="0" applyFont="1" applyFill="1" applyBorder="1" applyAlignment="1" applyProtection="1">
      <alignment horizontal="center" vertical="center" wrapText="1"/>
      <protection locked="0"/>
    </xf>
    <xf numFmtId="0" fontId="12" fillId="2" borderId="72" xfId="0" applyFont="1" applyFill="1" applyBorder="1" applyAlignment="1" applyProtection="1">
      <alignment horizontal="center" vertical="center" wrapText="1"/>
      <protection locked="0"/>
    </xf>
    <xf numFmtId="9" fontId="12" fillId="0" borderId="13" xfId="0" applyNumberFormat="1" applyFont="1" applyBorder="1" applyAlignment="1">
      <alignment horizontal="center" vertical="center" wrapText="1"/>
    </xf>
    <xf numFmtId="9" fontId="39" fillId="0" borderId="13" xfId="0" applyNumberFormat="1" applyFont="1" applyBorder="1" applyAlignment="1">
      <alignment horizontal="center" vertical="center" wrapText="1"/>
    </xf>
    <xf numFmtId="9" fontId="12" fillId="0" borderId="76" xfId="0" applyNumberFormat="1" applyFont="1" applyBorder="1" applyAlignment="1">
      <alignment horizontal="center" vertical="center" wrapText="1"/>
    </xf>
    <xf numFmtId="0" fontId="46" fillId="0" borderId="13" xfId="0" applyFont="1" applyBorder="1" applyAlignment="1" applyProtection="1">
      <alignment horizontal="center" vertical="center" wrapText="1"/>
      <protection locked="0"/>
    </xf>
    <xf numFmtId="9" fontId="12" fillId="0" borderId="13" xfId="0" applyNumberFormat="1" applyFont="1" applyBorder="1" applyAlignment="1" applyProtection="1">
      <alignment vertical="center" wrapText="1"/>
      <protection locked="0"/>
    </xf>
    <xf numFmtId="9" fontId="39" fillId="0" borderId="13" xfId="0" applyNumberFormat="1" applyFont="1" applyBorder="1" applyAlignment="1" applyProtection="1">
      <alignment vertical="center" wrapText="1"/>
      <protection locked="0"/>
    </xf>
    <xf numFmtId="177" fontId="12" fillId="0" borderId="13" xfId="0" applyNumberFormat="1" applyFont="1" applyBorder="1" applyAlignment="1" applyProtection="1">
      <alignment horizontal="center" vertical="center" wrapText="1"/>
      <protection locked="0"/>
    </xf>
    <xf numFmtId="9" fontId="12" fillId="0" borderId="13" xfId="0" applyNumberFormat="1" applyFont="1" applyBorder="1" applyAlignment="1">
      <alignment vertical="center" wrapText="1"/>
    </xf>
    <xf numFmtId="0" fontId="39" fillId="0" borderId="73" xfId="0" applyFont="1" applyBorder="1" applyAlignment="1" applyProtection="1">
      <alignment horizontal="center" vertical="center" wrapText="1"/>
      <protection locked="0"/>
    </xf>
    <xf numFmtId="0" fontId="42" fillId="0" borderId="73" xfId="0" applyFont="1" applyBorder="1" applyAlignment="1" applyProtection="1">
      <alignment horizontal="center" vertical="center" wrapText="1"/>
      <protection locked="0"/>
    </xf>
    <xf numFmtId="0" fontId="41" fillId="0" borderId="81" xfId="0" applyFont="1" applyBorder="1" applyAlignment="1" applyProtection="1">
      <alignment horizontal="center" vertical="center" wrapText="1"/>
      <protection locked="0"/>
    </xf>
    <xf numFmtId="0" fontId="42" fillId="0" borderId="82" xfId="0" applyFont="1" applyBorder="1" applyAlignment="1" applyProtection="1">
      <alignment horizontal="center" vertical="center" wrapText="1"/>
      <protection locked="0"/>
    </xf>
    <xf numFmtId="177" fontId="12" fillId="0" borderId="80" xfId="0" applyNumberFormat="1" applyFont="1" applyBorder="1" applyAlignment="1" applyProtection="1">
      <alignment vertical="center" wrapText="1"/>
      <protection locked="0"/>
    </xf>
    <xf numFmtId="9" fontId="4" fillId="0" borderId="80" xfId="0" applyNumberFormat="1" applyFont="1" applyBorder="1" applyAlignment="1" applyProtection="1">
      <alignment vertical="center" wrapText="1"/>
      <protection locked="0"/>
    </xf>
    <xf numFmtId="0" fontId="42" fillId="0" borderId="80" xfId="0" applyFont="1" applyBorder="1" applyAlignment="1" applyProtection="1">
      <alignment vertical="center" wrapText="1"/>
      <protection locked="0"/>
    </xf>
    <xf numFmtId="0" fontId="36" fillId="0" borderId="35" xfId="0" applyFont="1" applyBorder="1" applyAlignment="1" applyProtection="1">
      <alignment horizontal="left" vertical="center"/>
      <protection locked="0"/>
    </xf>
    <xf numFmtId="0" fontId="11" fillId="2" borderId="31" xfId="0" applyFont="1" applyFill="1" applyBorder="1" applyAlignment="1" applyProtection="1">
      <alignment horizontal="center" vertical="center" wrapText="1"/>
      <protection locked="0"/>
    </xf>
    <xf numFmtId="0" fontId="11" fillId="0" borderId="86" xfId="0" applyFont="1" applyBorder="1" applyAlignment="1" applyProtection="1">
      <alignment horizontal="center" vertical="top" wrapText="1"/>
      <protection locked="0"/>
    </xf>
    <xf numFmtId="0" fontId="12" fillId="0" borderId="73" xfId="0" applyFont="1" applyBorder="1" applyAlignment="1" applyProtection="1">
      <alignment horizontal="center" vertical="center" wrapText="1"/>
      <protection locked="0"/>
    </xf>
    <xf numFmtId="0" fontId="12" fillId="0" borderId="80" xfId="0" applyFont="1" applyBorder="1" applyAlignment="1" applyProtection="1">
      <alignment horizontal="center" vertical="center" wrapText="1"/>
      <protection locked="0"/>
    </xf>
    <xf numFmtId="9" fontId="12" fillId="0" borderId="80" xfId="0" applyNumberFormat="1" applyFont="1" applyBorder="1" applyAlignment="1" applyProtection="1">
      <alignment vertical="center" wrapText="1"/>
      <protection locked="0"/>
    </xf>
    <xf numFmtId="0" fontId="42" fillId="0" borderId="75" xfId="0" applyFont="1" applyBorder="1" applyAlignment="1" applyProtection="1">
      <alignment horizontal="center" vertical="top" wrapText="1"/>
      <protection locked="0"/>
    </xf>
    <xf numFmtId="9" fontId="12" fillId="0" borderId="76" xfId="0" applyNumberFormat="1" applyFont="1" applyBorder="1" applyAlignment="1" applyProtection="1">
      <alignment vertic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46" fillId="0" borderId="69" xfId="0" applyFont="1" applyBorder="1" applyAlignment="1" applyProtection="1">
      <alignment horizontal="center" vertical="center" wrapText="1"/>
      <protection locked="0"/>
    </xf>
    <xf numFmtId="0" fontId="39" fillId="0" borderId="14" xfId="0" applyFont="1" applyBorder="1" applyAlignment="1" applyProtection="1">
      <alignment horizontal="center" vertical="center" wrapText="1"/>
      <protection locked="0"/>
    </xf>
    <xf numFmtId="177" fontId="49" fillId="0" borderId="13" xfId="0" applyNumberFormat="1" applyFont="1" applyBorder="1" applyAlignment="1" applyProtection="1">
      <alignment horizontal="center" vertical="center" wrapText="1"/>
      <protection locked="0"/>
    </xf>
    <xf numFmtId="0" fontId="39" fillId="0" borderId="15" xfId="0" applyFont="1" applyBorder="1" applyAlignment="1" applyProtection="1">
      <alignment horizontal="center" vertical="center" wrapText="1"/>
      <protection locked="0"/>
    </xf>
    <xf numFmtId="3" fontId="9" fillId="0" borderId="0" xfId="0" applyNumberFormat="1" applyFont="1" applyProtection="1">
      <alignment vertical="center"/>
      <protection locked="0"/>
    </xf>
    <xf numFmtId="181" fontId="51" fillId="0" borderId="0" xfId="7" applyNumberFormat="1" applyFont="1" applyAlignment="1">
      <alignment horizontal="right" vertical="center"/>
    </xf>
    <xf numFmtId="10" fontId="51" fillId="0" borderId="0" xfId="5" applyNumberFormat="1" applyFont="1" applyAlignment="1">
      <alignment horizontal="right" vertical="center"/>
    </xf>
    <xf numFmtId="181" fontId="0" fillId="0" borderId="0" xfId="7" applyNumberFormat="1" applyFont="1" applyBorder="1">
      <alignment vertical="center"/>
    </xf>
    <xf numFmtId="182" fontId="21" fillId="0" borderId="0" xfId="8" applyNumberFormat="1" applyFont="1" applyAlignment="1">
      <alignment horizontal="right" vertical="center"/>
    </xf>
    <xf numFmtId="10" fontId="21" fillId="0" borderId="0" xfId="5" applyNumberFormat="1" applyBorder="1" applyAlignment="1">
      <alignment horizontal="right" vertical="center"/>
    </xf>
    <xf numFmtId="0" fontId="13" fillId="0" borderId="0" xfId="0" applyFont="1" applyProtection="1">
      <alignment vertical="center"/>
      <protection locked="0"/>
    </xf>
    <xf numFmtId="181" fontId="21" fillId="0" borderId="0" xfId="7" applyNumberFormat="1" applyAlignment="1">
      <alignment horizontal="right" vertical="center"/>
    </xf>
    <xf numFmtId="10" fontId="21" fillId="0" borderId="0" xfId="5" applyNumberFormat="1" applyAlignment="1">
      <alignment horizontal="right" vertical="center"/>
    </xf>
    <xf numFmtId="181" fontId="21" fillId="0" borderId="0" xfId="7" applyNumberFormat="1" applyBorder="1" applyAlignment="1">
      <alignment horizontal="right" vertical="center"/>
    </xf>
    <xf numFmtId="181" fontId="11" fillId="0" borderId="91" xfId="7" applyNumberFormat="1" applyFont="1" applyBorder="1" applyAlignment="1" applyProtection="1">
      <protection locked="0"/>
    </xf>
    <xf numFmtId="181" fontId="11" fillId="0" borderId="91" xfId="7" applyNumberFormat="1" applyFont="1" applyBorder="1" applyAlignment="1" applyProtection="1">
      <alignment vertical="center" wrapText="1"/>
      <protection locked="0"/>
    </xf>
    <xf numFmtId="0" fontId="11" fillId="2" borderId="92" xfId="0" applyFont="1" applyFill="1" applyBorder="1" applyAlignment="1" applyProtection="1">
      <alignment horizontal="center" vertical="center" wrapText="1"/>
      <protection locked="0"/>
    </xf>
    <xf numFmtId="0" fontId="11" fillId="2" borderId="93" xfId="0" applyFont="1" applyFill="1" applyBorder="1" applyAlignment="1" applyProtection="1">
      <alignment horizontal="center" vertical="center" wrapText="1"/>
      <protection locked="0"/>
    </xf>
    <xf numFmtId="0" fontId="52" fillId="2" borderId="93" xfId="0" applyFont="1" applyFill="1" applyBorder="1" applyAlignment="1" applyProtection="1">
      <alignment horizontal="center" vertical="center" wrapText="1"/>
      <protection locked="0"/>
    </xf>
    <xf numFmtId="0" fontId="3" fillId="2" borderId="93" xfId="0" applyFont="1" applyFill="1" applyBorder="1" applyAlignment="1" applyProtection="1">
      <alignment horizontal="center" vertical="center" wrapText="1"/>
      <protection locked="0"/>
    </xf>
    <xf numFmtId="3" fontId="11" fillId="0" borderId="91" xfId="0" applyNumberFormat="1" applyFont="1" applyBorder="1" applyAlignment="1" applyProtection="1">
      <protection locked="0"/>
    </xf>
    <xf numFmtId="0" fontId="11" fillId="0" borderId="96" xfId="0" applyFont="1" applyBorder="1" applyAlignment="1" applyProtection="1">
      <alignment horizontal="center" wrapText="1"/>
      <protection locked="0"/>
    </xf>
    <xf numFmtId="10" fontId="11" fillId="0" borderId="97" xfId="0" applyNumberFormat="1" applyFont="1" applyBorder="1" applyAlignment="1" applyProtection="1">
      <protection locked="0"/>
    </xf>
    <xf numFmtId="181" fontId="9" fillId="0" borderId="0" xfId="7" applyNumberFormat="1" applyFont="1" applyProtection="1">
      <alignment vertical="center"/>
      <protection locked="0"/>
    </xf>
    <xf numFmtId="0" fontId="55" fillId="0" borderId="0" xfId="8" applyFont="1" applyAlignment="1"/>
    <xf numFmtId="0" fontId="35" fillId="0" borderId="0" xfId="8" applyAlignment="1"/>
    <xf numFmtId="49" fontId="21" fillId="0" borderId="0" xfId="8" applyNumberFormat="1" applyFont="1" applyAlignment="1"/>
    <xf numFmtId="0" fontId="21" fillId="0" borderId="0" xfId="8" applyFont="1" applyAlignment="1">
      <alignment horizontal="left" vertical="center"/>
    </xf>
    <xf numFmtId="0" fontId="57" fillId="2" borderId="93" xfId="0" applyFont="1" applyFill="1" applyBorder="1" applyAlignment="1" applyProtection="1">
      <alignment horizontal="center" vertical="center" wrapText="1"/>
      <protection locked="0"/>
    </xf>
    <xf numFmtId="0" fontId="56" fillId="0" borderId="0" xfId="8" applyFont="1" applyAlignment="1">
      <alignment horizontal="left" vertical="center"/>
    </xf>
    <xf numFmtId="0" fontId="54" fillId="4" borderId="0" xfId="8" applyFont="1" applyFill="1" applyAlignment="1"/>
    <xf numFmtId="181" fontId="55" fillId="0" borderId="0" xfId="7" applyNumberFormat="1" applyFont="1" applyAlignment="1"/>
    <xf numFmtId="0" fontId="59" fillId="0" borderId="0" xfId="8" applyFont="1" applyAlignment="1"/>
    <xf numFmtId="0" fontId="60" fillId="0" borderId="0" xfId="0" applyFont="1">
      <alignment vertical="center"/>
    </xf>
    <xf numFmtId="49" fontId="55" fillId="0" borderId="0" xfId="8" applyNumberFormat="1" applyFont="1" applyAlignment="1"/>
    <xf numFmtId="49" fontId="59" fillId="0" borderId="0" xfId="8" applyNumberFormat="1" applyFont="1" applyAlignment="1"/>
    <xf numFmtId="0" fontId="55" fillId="0" borderId="99" xfId="8" applyFont="1" applyBorder="1" applyAlignment="1">
      <alignment horizontal="left" vertical="center"/>
    </xf>
    <xf numFmtId="181" fontId="55" fillId="0" borderId="99" xfId="7" applyNumberFormat="1" applyFont="1" applyBorder="1" applyAlignment="1">
      <alignment horizontal="right" vertical="center"/>
    </xf>
    <xf numFmtId="0" fontId="55" fillId="0" borderId="99" xfId="8" applyFont="1" applyBorder="1" applyAlignment="1">
      <alignment horizontal="right" vertical="center"/>
    </xf>
    <xf numFmtId="0" fontId="59" fillId="0" borderId="99" xfId="8" applyFont="1" applyBorder="1" applyAlignment="1">
      <alignment horizontal="left" vertical="center"/>
    </xf>
    <xf numFmtId="0" fontId="55" fillId="0" borderId="0" xfId="8" applyFont="1" applyAlignment="1">
      <alignment horizontal="left" vertical="center"/>
    </xf>
    <xf numFmtId="181" fontId="55" fillId="0" borderId="0" xfId="7" applyNumberFormat="1" applyFont="1" applyAlignment="1">
      <alignment horizontal="right" vertical="center"/>
    </xf>
    <xf numFmtId="10" fontId="55" fillId="0" borderId="0" xfId="5" applyNumberFormat="1" applyFont="1" applyAlignment="1">
      <alignment horizontal="right" vertical="center"/>
    </xf>
    <xf numFmtId="0" fontId="59" fillId="0" borderId="0" xfId="8" applyFont="1" applyAlignment="1">
      <alignment horizontal="left" vertical="center"/>
    </xf>
    <xf numFmtId="181" fontId="55" fillId="0" borderId="100" xfId="7" applyNumberFormat="1" applyFont="1" applyBorder="1" applyAlignment="1">
      <alignment horizontal="right" vertical="center"/>
    </xf>
    <xf numFmtId="10" fontId="55" fillId="0" borderId="100" xfId="5" applyNumberFormat="1" applyFont="1" applyBorder="1" applyAlignment="1">
      <alignment horizontal="right" vertical="center"/>
    </xf>
    <xf numFmtId="0" fontId="55" fillId="0" borderId="90" xfId="8" applyFont="1" applyBorder="1" applyAlignment="1">
      <alignment horizontal="left" vertical="center"/>
    </xf>
    <xf numFmtId="181" fontId="55" fillId="0" borderId="90" xfId="7" applyNumberFormat="1" applyFont="1" applyBorder="1" applyAlignment="1">
      <alignment horizontal="right" vertical="center"/>
    </xf>
    <xf numFmtId="181" fontId="55" fillId="0" borderId="90" xfId="8" applyNumberFormat="1" applyFont="1" applyBorder="1" applyAlignment="1">
      <alignment horizontal="left" vertical="center"/>
    </xf>
    <xf numFmtId="0" fontId="59" fillId="0" borderId="90" xfId="8" applyFont="1" applyBorder="1" applyAlignment="1">
      <alignment horizontal="left" vertical="center"/>
    </xf>
    <xf numFmtId="49" fontId="55" fillId="0" borderId="90" xfId="8" applyNumberFormat="1" applyFont="1" applyBorder="1" applyAlignment="1"/>
    <xf numFmtId="0" fontId="55" fillId="0" borderId="90" xfId="8" applyFont="1" applyBorder="1" applyAlignment="1"/>
    <xf numFmtId="181" fontId="55" fillId="0" borderId="90" xfId="7" applyNumberFormat="1" applyFont="1" applyBorder="1" applyAlignment="1"/>
    <xf numFmtId="0" fontId="59" fillId="0" borderId="90" xfId="8" applyFont="1" applyBorder="1" applyAlignment="1"/>
    <xf numFmtId="49" fontId="59" fillId="0" borderId="90" xfId="8" applyNumberFormat="1" applyFont="1" applyBorder="1" applyAlignment="1"/>
    <xf numFmtId="0" fontId="55" fillId="4" borderId="0" xfId="8" applyFont="1" applyFill="1" applyAlignment="1">
      <alignment horizontal="left" vertical="center"/>
    </xf>
    <xf numFmtId="183" fontId="55" fillId="0" borderId="0" xfId="7" applyNumberFormat="1" applyFont="1" applyAlignment="1">
      <alignment horizontal="right" vertical="center"/>
    </xf>
    <xf numFmtId="0" fontId="55" fillId="5" borderId="0" xfId="8" applyFont="1" applyFill="1" applyAlignment="1">
      <alignment horizontal="left" vertical="center"/>
    </xf>
    <xf numFmtId="181" fontId="55" fillId="5" borderId="0" xfId="7" applyNumberFormat="1" applyFont="1" applyFill="1" applyAlignment="1">
      <alignment horizontal="right" vertical="center"/>
    </xf>
    <xf numFmtId="181" fontId="60" fillId="0" borderId="0" xfId="7" applyNumberFormat="1" applyFont="1">
      <alignment vertical="center"/>
    </xf>
    <xf numFmtId="0" fontId="62" fillId="0" borderId="0" xfId="0" applyFont="1">
      <alignment vertical="center"/>
    </xf>
    <xf numFmtId="181" fontId="21" fillId="0" borderId="0" xfId="7" applyNumberFormat="1" applyFont="1" applyBorder="1" applyAlignment="1"/>
    <xf numFmtId="0" fontId="21" fillId="0" borderId="101" xfId="8" applyFont="1" applyBorder="1" applyAlignment="1">
      <alignment horizontal="left" vertical="center"/>
    </xf>
    <xf numFmtId="181" fontId="21" fillId="0" borderId="101" xfId="7" applyNumberFormat="1" applyFont="1" applyBorder="1" applyAlignment="1">
      <alignment horizontal="left" vertical="center"/>
    </xf>
    <xf numFmtId="181" fontId="21" fillId="0" borderId="0" xfId="7" applyNumberFormat="1" applyFont="1" applyBorder="1" applyAlignment="1">
      <alignment horizontal="right" vertical="center"/>
    </xf>
    <xf numFmtId="181" fontId="63" fillId="0" borderId="0" xfId="7" applyNumberFormat="1" applyFont="1" applyBorder="1" applyAlignment="1">
      <alignment horizontal="right" vertical="center"/>
    </xf>
    <xf numFmtId="183" fontId="64" fillId="0" borderId="0" xfId="7" applyNumberFormat="1" applyFont="1" applyBorder="1" applyAlignment="1">
      <alignment horizontal="right" vertical="top" wrapText="1"/>
    </xf>
    <xf numFmtId="0" fontId="65" fillId="0" borderId="0" xfId="7" applyNumberFormat="1" applyFont="1" applyBorder="1" applyAlignment="1">
      <alignment horizontal="left" vertical="top" wrapText="1"/>
    </xf>
    <xf numFmtId="0" fontId="0" fillId="0" borderId="80" xfId="0" applyBorder="1">
      <alignment vertical="center"/>
    </xf>
    <xf numFmtId="181" fontId="0" fillId="0" borderId="80" xfId="7" applyNumberFormat="1" applyFont="1" applyBorder="1">
      <alignment vertical="center"/>
    </xf>
    <xf numFmtId="0" fontId="21" fillId="0" borderId="102" xfId="8" applyFont="1" applyBorder="1" applyAlignment="1">
      <alignment horizontal="left" vertical="center"/>
    </xf>
    <xf numFmtId="181" fontId="0" fillId="0" borderId="103" xfId="7" applyNumberFormat="1" applyFont="1" applyBorder="1">
      <alignment vertical="center"/>
    </xf>
    <xf numFmtId="0" fontId="0" fillId="0" borderId="104" xfId="0" applyBorder="1" applyAlignment="1">
      <alignment horizontal="left" vertical="center" indent="1"/>
    </xf>
    <xf numFmtId="181" fontId="0" fillId="0" borderId="105" xfId="7" applyNumberFormat="1" applyFont="1" applyBorder="1">
      <alignment vertical="center"/>
    </xf>
    <xf numFmtId="0" fontId="0" fillId="0" borderId="106" xfId="0" applyBorder="1" applyAlignment="1">
      <alignment horizontal="left" vertical="center" indent="1"/>
    </xf>
    <xf numFmtId="181" fontId="0" fillId="0" borderId="107" xfId="7" applyNumberFormat="1" applyFont="1" applyBorder="1">
      <alignment vertical="center"/>
    </xf>
    <xf numFmtId="0" fontId="66" fillId="0" borderId="0" xfId="0" applyFont="1">
      <alignment vertical="center"/>
    </xf>
    <xf numFmtId="0" fontId="67" fillId="0" borderId="0" xfId="0" applyFont="1">
      <alignment vertical="center"/>
    </xf>
    <xf numFmtId="0" fontId="24" fillId="3" borderId="67" xfId="0" applyFont="1" applyFill="1" applyBorder="1" applyAlignment="1" applyProtection="1">
      <alignment horizontal="center" vertical="center"/>
      <protection locked="0"/>
    </xf>
    <xf numFmtId="0" fontId="24" fillId="3" borderId="68" xfId="0" applyFont="1" applyFill="1" applyBorder="1" applyAlignment="1" applyProtection="1">
      <alignment horizontal="center" vertical="center"/>
      <protection locked="0"/>
    </xf>
    <xf numFmtId="3" fontId="11" fillId="0" borderId="91" xfId="0" applyNumberFormat="1" applyFont="1" applyBorder="1" applyAlignment="1" applyProtection="1">
      <alignment horizontal="right"/>
      <protection locked="0"/>
    </xf>
    <xf numFmtId="3" fontId="11" fillId="0" borderId="95" xfId="0" applyNumberFormat="1" applyFont="1" applyBorder="1" applyAlignment="1" applyProtection="1">
      <alignment horizontal="right"/>
      <protection locked="0"/>
    </xf>
    <xf numFmtId="10" fontId="10" fillId="0" borderId="60" xfId="0" applyNumberFormat="1" applyFont="1" applyBorder="1" applyAlignment="1" applyProtection="1">
      <alignment horizontal="center" vertical="center" wrapText="1"/>
      <protection locked="0"/>
    </xf>
    <xf numFmtId="10" fontId="10" fillId="0" borderId="61" xfId="0" applyNumberFormat="1" applyFont="1" applyBorder="1" applyAlignment="1" applyProtection="1">
      <alignment horizontal="center" vertical="center" wrapText="1"/>
      <protection locked="0"/>
    </xf>
    <xf numFmtId="10" fontId="10" fillId="0" borderId="64" xfId="0" applyNumberFormat="1" applyFont="1" applyBorder="1" applyAlignment="1" applyProtection="1">
      <alignment horizontal="center" vertical="center" wrapText="1"/>
      <protection locked="0"/>
    </xf>
    <xf numFmtId="0" fontId="12" fillId="0" borderId="55" xfId="0" applyFont="1" applyBorder="1" applyAlignment="1" applyProtection="1">
      <alignment horizontal="center" vertical="center" wrapText="1"/>
      <protection locked="0"/>
    </xf>
    <xf numFmtId="0" fontId="12" fillId="0" borderId="26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176" fontId="11" fillId="0" borderId="6" xfId="0" applyNumberFormat="1" applyFont="1" applyBorder="1" applyAlignment="1" applyProtection="1">
      <alignment horizontal="right" vertical="center" wrapText="1"/>
      <protection locked="0"/>
    </xf>
    <xf numFmtId="176" fontId="11" fillId="0" borderId="44" xfId="0" applyNumberFormat="1" applyFont="1" applyBorder="1" applyAlignment="1" applyProtection="1">
      <alignment horizontal="right" vertical="center" wrapText="1"/>
      <protection locked="0"/>
    </xf>
    <xf numFmtId="176" fontId="11" fillId="0" borderId="7" xfId="0" applyNumberFormat="1" applyFont="1" applyBorder="1" applyAlignment="1" applyProtection="1">
      <alignment horizontal="right" vertical="center" wrapText="1"/>
      <protection locked="0"/>
    </xf>
    <xf numFmtId="176" fontId="11" fillId="0" borderId="58" xfId="0" applyNumberFormat="1" applyFont="1" applyBorder="1" applyAlignment="1" applyProtection="1">
      <alignment horizontal="right" vertical="center" wrapText="1"/>
      <protection locked="0"/>
    </xf>
    <xf numFmtId="176" fontId="33" fillId="0" borderId="0" xfId="0" applyNumberFormat="1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 wrapText="1"/>
      <protection locked="0"/>
    </xf>
    <xf numFmtId="0" fontId="11" fillId="0" borderId="32" xfId="0" applyFont="1" applyBorder="1" applyAlignment="1" applyProtection="1">
      <alignment horizontal="center" vertical="center" wrapText="1"/>
      <protection locked="0"/>
    </xf>
    <xf numFmtId="0" fontId="11" fillId="0" borderId="56" xfId="0" applyFont="1" applyBorder="1" applyAlignment="1" applyProtection="1">
      <alignment horizontal="center" vertical="center" wrapText="1"/>
      <protection locked="0"/>
    </xf>
    <xf numFmtId="0" fontId="11" fillId="0" borderId="40" xfId="0" applyFont="1" applyBorder="1" applyAlignment="1" applyProtection="1">
      <alignment horizontal="center" vertical="center" wrapText="1"/>
      <protection locked="0"/>
    </xf>
    <xf numFmtId="14" fontId="11" fillId="0" borderId="84" xfId="0" applyNumberFormat="1" applyFont="1" applyBorder="1" applyAlignment="1" applyProtection="1">
      <alignment horizontal="center" vertical="center" wrapText="1"/>
      <protection locked="0"/>
    </xf>
    <xf numFmtId="14" fontId="11" fillId="0" borderId="48" xfId="0" applyNumberFormat="1" applyFont="1" applyBorder="1" applyAlignment="1" applyProtection="1">
      <alignment horizontal="center" vertical="center" wrapText="1"/>
      <protection locked="0"/>
    </xf>
    <xf numFmtId="14" fontId="3" fillId="0" borderId="9" xfId="0" applyNumberFormat="1" applyFont="1" applyBorder="1" applyAlignment="1" applyProtection="1">
      <alignment horizontal="center" vertical="center" wrapText="1"/>
      <protection locked="0"/>
    </xf>
    <xf numFmtId="14" fontId="3" fillId="0" borderId="32" xfId="0" applyNumberFormat="1" applyFont="1" applyBorder="1" applyAlignment="1" applyProtection="1">
      <alignment horizontal="center" vertical="center" wrapText="1"/>
      <protection locked="0"/>
    </xf>
    <xf numFmtId="176" fontId="11" fillId="0" borderId="10" xfId="0" applyNumberFormat="1" applyFont="1" applyBorder="1" applyAlignment="1" applyProtection="1">
      <alignment horizontal="right" vertical="center" wrapText="1"/>
      <protection locked="0"/>
    </xf>
    <xf numFmtId="176" fontId="11" fillId="0" borderId="83" xfId="0" applyNumberFormat="1" applyFont="1" applyBorder="1" applyAlignment="1" applyProtection="1">
      <alignment horizontal="right" vertical="center" wrapText="1"/>
      <protection locked="0"/>
    </xf>
    <xf numFmtId="176" fontId="11" fillId="0" borderId="33" xfId="0" applyNumberFormat="1" applyFont="1" applyBorder="1" applyAlignment="1" applyProtection="1">
      <alignment horizontal="right" vertical="center" wrapText="1"/>
      <protection locked="0"/>
    </xf>
    <xf numFmtId="176" fontId="11" fillId="0" borderId="47" xfId="0" applyNumberFormat="1" applyFont="1" applyBorder="1" applyAlignment="1" applyProtection="1">
      <alignment horizontal="right" vertical="center" wrapText="1"/>
      <protection locked="0"/>
    </xf>
    <xf numFmtId="0" fontId="11" fillId="0" borderId="26" xfId="0" applyFont="1" applyBorder="1" applyAlignment="1" applyProtection="1">
      <alignment horizontal="center" vertical="center" wrapText="1"/>
      <protection locked="0"/>
    </xf>
    <xf numFmtId="14" fontId="11" fillId="0" borderId="27" xfId="0" applyNumberFormat="1" applyFont="1" applyBorder="1" applyAlignment="1" applyProtection="1">
      <alignment horizontal="center" vertical="center" wrapText="1"/>
      <protection locked="0"/>
    </xf>
    <xf numFmtId="0" fontId="11" fillId="0" borderId="28" xfId="0" applyFont="1" applyBorder="1" applyAlignment="1" applyProtection="1">
      <alignment horizontal="center" vertical="center" wrapText="1"/>
      <protection locked="0"/>
    </xf>
    <xf numFmtId="14" fontId="3" fillId="0" borderId="27" xfId="0" applyNumberFormat="1" applyFont="1" applyBorder="1" applyAlignment="1" applyProtection="1">
      <alignment horizontal="center" vertical="center" wrapText="1"/>
      <protection locked="0"/>
    </xf>
    <xf numFmtId="14" fontId="3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51" xfId="0" applyFont="1" applyBorder="1" applyAlignment="1" applyProtection="1">
      <alignment horizontal="center" vertical="center" wrapText="1"/>
      <protection locked="0"/>
    </xf>
    <xf numFmtId="0" fontId="3" fillId="0" borderId="53" xfId="0" applyFont="1" applyBorder="1" applyAlignment="1" applyProtection="1">
      <alignment horizontal="center" vertical="center" wrapText="1"/>
      <protection locked="0"/>
    </xf>
    <xf numFmtId="0" fontId="3" fillId="0" borderId="41" xfId="0" applyFont="1" applyBorder="1" applyAlignment="1" applyProtection="1">
      <alignment horizontal="center" vertical="center" wrapText="1"/>
      <protection locked="0"/>
    </xf>
    <xf numFmtId="0" fontId="3" fillId="0" borderId="54" xfId="0" applyFont="1" applyBorder="1" applyAlignment="1" applyProtection="1">
      <alignment horizontal="center" vertical="center" wrapText="1"/>
      <protection locked="0"/>
    </xf>
    <xf numFmtId="0" fontId="3" fillId="2" borderId="50" xfId="0" applyFont="1" applyFill="1" applyBorder="1" applyAlignment="1" applyProtection="1">
      <alignment horizontal="center" vertical="center" wrapText="1"/>
      <protection locked="0"/>
    </xf>
    <xf numFmtId="0" fontId="11" fillId="2" borderId="52" xfId="0" applyFont="1" applyFill="1" applyBorder="1" applyAlignment="1" applyProtection="1">
      <alignment horizontal="center" vertical="center" wrapText="1"/>
      <protection locked="0"/>
    </xf>
    <xf numFmtId="10" fontId="11" fillId="0" borderId="97" xfId="0" applyNumberFormat="1" applyFont="1" applyBorder="1" applyAlignment="1" applyProtection="1">
      <alignment horizontal="right"/>
      <protection locked="0"/>
    </xf>
    <xf numFmtId="181" fontId="10" fillId="0" borderId="60" xfId="7" applyNumberFormat="1" applyFont="1" applyBorder="1" applyAlignment="1" applyProtection="1">
      <alignment horizontal="right" vertical="center" wrapText="1"/>
      <protection locked="0"/>
    </xf>
    <xf numFmtId="181" fontId="10" fillId="0" borderId="61" xfId="7" applyNumberFormat="1" applyFont="1" applyBorder="1" applyAlignment="1" applyProtection="1">
      <alignment horizontal="right" vertical="center" wrapText="1"/>
      <protection locked="0"/>
    </xf>
    <xf numFmtId="181" fontId="10" fillId="0" borderId="62" xfId="7" applyNumberFormat="1" applyFont="1" applyBorder="1" applyAlignment="1" applyProtection="1">
      <alignment horizontal="right" vertical="center" wrapText="1"/>
      <protection locked="0"/>
    </xf>
    <xf numFmtId="0" fontId="11" fillId="2" borderId="93" xfId="0" applyFont="1" applyFill="1" applyBorder="1" applyAlignment="1" applyProtection="1">
      <alignment horizontal="center" vertical="center" wrapText="1"/>
      <protection locked="0"/>
    </xf>
    <xf numFmtId="0" fontId="11" fillId="2" borderId="94" xfId="0" applyFont="1" applyFill="1" applyBorder="1" applyAlignment="1" applyProtection="1">
      <alignment horizontal="center" vertical="center" wrapText="1"/>
      <protection locked="0"/>
    </xf>
    <xf numFmtId="9" fontId="11" fillId="0" borderId="97" xfId="5" applyFont="1" applyBorder="1" applyAlignment="1" applyProtection="1">
      <alignment horizontal="right"/>
      <protection locked="0"/>
    </xf>
    <xf numFmtId="9" fontId="11" fillId="0" borderId="98" xfId="5" applyFont="1" applyBorder="1" applyAlignment="1" applyProtection="1">
      <alignment horizontal="right"/>
      <protection locked="0"/>
    </xf>
    <xf numFmtId="181" fontId="11" fillId="0" borderId="91" xfId="7" applyNumberFormat="1" applyFont="1" applyBorder="1" applyAlignment="1" applyProtection="1">
      <alignment horizontal="center" vertical="center" wrapText="1"/>
      <protection locked="0"/>
    </xf>
    <xf numFmtId="181" fontId="10" fillId="0" borderId="63" xfId="7" applyNumberFormat="1" applyFont="1" applyBorder="1" applyAlignment="1" applyProtection="1">
      <alignment horizontal="right" vertical="center" wrapText="1"/>
      <protection locked="0"/>
    </xf>
    <xf numFmtId="3" fontId="10" fillId="0" borderId="63" xfId="0" applyNumberFormat="1" applyFont="1" applyBorder="1" applyAlignment="1" applyProtection="1">
      <alignment horizontal="right" vertical="center" wrapText="1"/>
      <protection locked="0"/>
    </xf>
    <xf numFmtId="0" fontId="11" fillId="2" borderId="29" xfId="0" applyFont="1" applyFill="1" applyBorder="1" applyAlignment="1" applyProtection="1">
      <alignment horizontal="center" vertical="center" wrapText="1"/>
      <protection locked="0"/>
    </xf>
    <xf numFmtId="0" fontId="11" fillId="2" borderId="49" xfId="0" applyFont="1" applyFill="1" applyBorder="1" applyAlignment="1" applyProtection="1">
      <alignment horizontal="center" vertical="center" wrapText="1"/>
      <protection locked="0"/>
    </xf>
    <xf numFmtId="3" fontId="10" fillId="0" borderId="60" xfId="0" applyNumberFormat="1" applyFont="1" applyBorder="1" applyAlignment="1" applyProtection="1">
      <alignment horizontal="right" vertical="center" wrapText="1"/>
      <protection locked="0"/>
    </xf>
    <xf numFmtId="3" fontId="10" fillId="0" borderId="61" xfId="0" applyNumberFormat="1" applyFont="1" applyBorder="1" applyAlignment="1" applyProtection="1">
      <alignment horizontal="right" vertical="center" wrapText="1"/>
      <protection locked="0"/>
    </xf>
    <xf numFmtId="3" fontId="10" fillId="0" borderId="62" xfId="0" applyNumberFormat="1" applyFont="1" applyBorder="1" applyAlignment="1" applyProtection="1">
      <alignment horizontal="right" vertical="center" wrapText="1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1" fillId="2" borderId="31" xfId="0" applyFont="1" applyFill="1" applyBorder="1" applyAlignment="1" applyProtection="1">
      <alignment horizontal="center" vertical="center" wrapText="1"/>
      <protection locked="0"/>
    </xf>
    <xf numFmtId="0" fontId="57" fillId="2" borderId="93" xfId="0" applyFont="1" applyFill="1" applyBorder="1" applyAlignment="1" applyProtection="1">
      <alignment horizontal="center" vertical="center" wrapText="1"/>
      <protection locked="0"/>
    </xf>
    <xf numFmtId="0" fontId="47" fillId="0" borderId="0" xfId="0" applyFont="1" applyAlignment="1" applyProtection="1">
      <alignment horizontal="left" vertical="center"/>
      <protection locked="0"/>
    </xf>
    <xf numFmtId="0" fontId="48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32" fillId="0" borderId="0" xfId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24" fillId="2" borderId="17" xfId="0" applyFont="1" applyFill="1" applyBorder="1" applyAlignment="1" applyProtection="1">
      <alignment horizontal="center" vertical="center" wrapText="1"/>
      <protection locked="0"/>
    </xf>
    <xf numFmtId="0" fontId="29" fillId="0" borderId="14" xfId="0" applyFont="1" applyBorder="1" applyAlignment="1" applyProtection="1">
      <alignment horizontal="center" wrapText="1" readingOrder="1"/>
      <protection locked="0"/>
    </xf>
    <xf numFmtId="0" fontId="29" fillId="0" borderId="15" xfId="0" applyFont="1" applyBorder="1" applyAlignment="1" applyProtection="1">
      <alignment horizontal="center" wrapText="1" readingOrder="1"/>
      <protection locked="0"/>
    </xf>
    <xf numFmtId="0" fontId="27" fillId="0" borderId="14" xfId="0" applyFont="1" applyBorder="1" applyAlignment="1" applyProtection="1">
      <alignment horizontal="center" wrapText="1" readingOrder="1"/>
      <protection locked="0"/>
    </xf>
    <xf numFmtId="0" fontId="27" fillId="0" borderId="15" xfId="0" applyFont="1" applyBorder="1" applyAlignment="1" applyProtection="1">
      <alignment horizontal="center" wrapText="1" readingOrder="1"/>
      <protection locked="0"/>
    </xf>
    <xf numFmtId="0" fontId="27" fillId="0" borderId="21" xfId="0" applyFont="1" applyBorder="1" applyAlignment="1" applyProtection="1">
      <alignment horizontal="center" wrapText="1" readingOrder="1"/>
      <protection locked="0"/>
    </xf>
    <xf numFmtId="0" fontId="27" fillId="0" borderId="22" xfId="0" applyFont="1" applyBorder="1" applyAlignment="1" applyProtection="1">
      <alignment horizontal="center" wrapText="1" readingOrder="1"/>
      <protection locked="0"/>
    </xf>
    <xf numFmtId="0" fontId="34" fillId="0" borderId="0" xfId="0" applyFont="1" applyAlignment="1" applyProtection="1">
      <alignment horizontal="left" vertical="center"/>
      <protection locked="0"/>
    </xf>
    <xf numFmtId="0" fontId="34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11" fillId="0" borderId="55" xfId="0" applyFont="1" applyBorder="1" applyAlignment="1" applyProtection="1">
      <alignment horizontal="center" vertical="center" wrapText="1"/>
      <protection locked="0"/>
    </xf>
    <xf numFmtId="176" fontId="11" fillId="0" borderId="87" xfId="0" applyNumberFormat="1" applyFont="1" applyBorder="1" applyAlignment="1" applyProtection="1">
      <alignment horizontal="right" vertical="center" wrapText="1"/>
      <protection locked="0"/>
    </xf>
    <xf numFmtId="176" fontId="11" fillId="0" borderId="88" xfId="0" applyNumberFormat="1" applyFont="1" applyBorder="1" applyAlignment="1" applyProtection="1">
      <alignment horizontal="right" vertical="center" wrapText="1"/>
      <protection locked="0"/>
    </xf>
    <xf numFmtId="14" fontId="3" fillId="0" borderId="55" xfId="0" applyNumberFormat="1" applyFont="1" applyBorder="1" applyAlignment="1" applyProtection="1">
      <alignment horizontal="center" vertical="center" wrapText="1"/>
      <protection locked="0"/>
    </xf>
    <xf numFmtId="14" fontId="3" fillId="0" borderId="26" xfId="0" applyNumberFormat="1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11" fillId="0" borderId="85" xfId="0" applyFont="1" applyBorder="1" applyAlignment="1" applyProtection="1">
      <alignment horizontal="center" vertical="center" wrapText="1"/>
      <protection locked="0"/>
    </xf>
    <xf numFmtId="0" fontId="11" fillId="0" borderId="87" xfId="0" applyFont="1" applyBorder="1" applyAlignment="1" applyProtection="1">
      <alignment horizontal="center" vertical="center" wrapText="1"/>
      <protection locked="0"/>
    </xf>
    <xf numFmtId="0" fontId="11" fillId="0" borderId="89" xfId="0" applyFont="1" applyBorder="1" applyAlignment="1" applyProtection="1">
      <alignment horizontal="center" vertical="center" wrapText="1"/>
      <protection locked="0"/>
    </xf>
    <xf numFmtId="0" fontId="12" fillId="0" borderId="78" xfId="0" applyFont="1" applyBorder="1" applyAlignment="1" applyProtection="1">
      <alignment horizontal="left" vertical="center" wrapText="1"/>
      <protection locked="0"/>
    </xf>
    <xf numFmtId="0" fontId="12" fillId="0" borderId="57" xfId="0" applyFont="1" applyBorder="1" applyAlignment="1" applyProtection="1">
      <alignment horizontal="left" vertical="center" wrapText="1"/>
      <protection locked="0"/>
    </xf>
    <xf numFmtId="0" fontId="12" fillId="0" borderId="79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33" xfId="0" applyFont="1" applyBorder="1" applyAlignment="1" applyProtection="1">
      <alignment horizontal="center" vertical="center" wrapText="1"/>
      <protection locked="0"/>
    </xf>
    <xf numFmtId="0" fontId="11" fillId="0" borderId="34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50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14" fontId="16" fillId="0" borderId="0" xfId="0" applyNumberFormat="1" applyFont="1" applyAlignment="1" applyProtection="1">
      <alignment horizontal="center" vertical="center"/>
      <protection locked="0"/>
    </xf>
    <xf numFmtId="0" fontId="11" fillId="2" borderId="42" xfId="0" applyFont="1" applyFill="1" applyBorder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8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1" fillId="2" borderId="2" xfId="0" applyFont="1" applyFill="1" applyBorder="1" applyAlignment="1" applyProtection="1">
      <alignment horizontal="center" vertical="center" wrapText="1"/>
      <protection locked="0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55" fillId="0" borderId="108" xfId="8" applyFont="1" applyBorder="1" applyAlignment="1">
      <alignment horizontal="left" vertical="center"/>
    </xf>
    <xf numFmtId="181" fontId="55" fillId="0" borderId="108" xfId="7" applyNumberFormat="1" applyFont="1" applyBorder="1" applyAlignment="1">
      <alignment horizontal="right" vertical="center"/>
    </xf>
    <xf numFmtId="0" fontId="55" fillId="0" borderId="108" xfId="8" applyFont="1" applyBorder="1" applyAlignment="1">
      <alignment horizontal="right" vertical="center"/>
    </xf>
    <xf numFmtId="0" fontId="59" fillId="0" borderId="108" xfId="8" applyFont="1" applyBorder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3" fontId="0" fillId="0" borderId="0" xfId="0" applyNumberFormat="1">
      <alignment vertical="center"/>
    </xf>
  </cellXfs>
  <cellStyles count="2602">
    <cellStyle name="一般" xfId="0" builtinId="0"/>
    <cellStyle name="一般 10" xfId="15" xr:uid="{00000000-0005-0000-0000-000001000000}"/>
    <cellStyle name="一般 11" xfId="16" xr:uid="{00000000-0005-0000-0000-000002000000}"/>
    <cellStyle name="一般 12" xfId="17" xr:uid="{00000000-0005-0000-0000-000003000000}"/>
    <cellStyle name="一般 13" xfId="18" xr:uid="{00000000-0005-0000-0000-000004000000}"/>
    <cellStyle name="一般 14" xfId="19" xr:uid="{00000000-0005-0000-0000-000005000000}"/>
    <cellStyle name="一般 15" xfId="20" xr:uid="{00000000-0005-0000-0000-000006000000}"/>
    <cellStyle name="一般 16" xfId="21" xr:uid="{00000000-0005-0000-0000-000007000000}"/>
    <cellStyle name="一般 17" xfId="22" xr:uid="{00000000-0005-0000-0000-000008000000}"/>
    <cellStyle name="一般 18" xfId="23" xr:uid="{00000000-0005-0000-0000-000009000000}"/>
    <cellStyle name="一般 19" xfId="24" xr:uid="{00000000-0005-0000-0000-00000A000000}"/>
    <cellStyle name="一般 2" xfId="8" xr:uid="{00000000-0005-0000-0000-00000B000000}"/>
    <cellStyle name="一般 2 2" xfId="25" xr:uid="{00000000-0005-0000-0000-00000C000000}"/>
    <cellStyle name="一般 2 3" xfId="26" xr:uid="{00000000-0005-0000-0000-00000D000000}"/>
    <cellStyle name="一般 2 3 2" xfId="27" xr:uid="{00000000-0005-0000-0000-00000E000000}"/>
    <cellStyle name="一般 2 3 2 2" xfId="28" xr:uid="{00000000-0005-0000-0000-00000F000000}"/>
    <cellStyle name="一般 2 3 2 2 2" xfId="29" xr:uid="{00000000-0005-0000-0000-000010000000}"/>
    <cellStyle name="一般 2 3 2 2 2 2" xfId="30" xr:uid="{00000000-0005-0000-0000-000011000000}"/>
    <cellStyle name="一般 2 3 2 2 2 2 2" xfId="31" xr:uid="{00000000-0005-0000-0000-000012000000}"/>
    <cellStyle name="一般 2 3 2 2 2 3" xfId="32" xr:uid="{00000000-0005-0000-0000-000013000000}"/>
    <cellStyle name="一般 2 3 2 2 3" xfId="33" xr:uid="{00000000-0005-0000-0000-000014000000}"/>
    <cellStyle name="一般 2 3 2 2 3 2" xfId="34" xr:uid="{00000000-0005-0000-0000-000015000000}"/>
    <cellStyle name="一般 2 3 2 2 4" xfId="35" xr:uid="{00000000-0005-0000-0000-000016000000}"/>
    <cellStyle name="一般 2 3 2 3" xfId="36" xr:uid="{00000000-0005-0000-0000-000017000000}"/>
    <cellStyle name="一般 2 3 2 3 2" xfId="37" xr:uid="{00000000-0005-0000-0000-000018000000}"/>
    <cellStyle name="一般 2 3 2 3 2 2" xfId="38" xr:uid="{00000000-0005-0000-0000-000019000000}"/>
    <cellStyle name="一般 2 3 2 3 3" xfId="39" xr:uid="{00000000-0005-0000-0000-00001A000000}"/>
    <cellStyle name="一般 2 3 2 4" xfId="40" xr:uid="{00000000-0005-0000-0000-00001B000000}"/>
    <cellStyle name="一般 2 3 2 4 2" xfId="41" xr:uid="{00000000-0005-0000-0000-00001C000000}"/>
    <cellStyle name="一般 2 3 2 5" xfId="42" xr:uid="{00000000-0005-0000-0000-00001D000000}"/>
    <cellStyle name="一般 2 3 3" xfId="43" xr:uid="{00000000-0005-0000-0000-00001E000000}"/>
    <cellStyle name="一般 2 3 3 2" xfId="44" xr:uid="{00000000-0005-0000-0000-00001F000000}"/>
    <cellStyle name="一般 2 3 3 2 2" xfId="45" xr:uid="{00000000-0005-0000-0000-000020000000}"/>
    <cellStyle name="一般 2 3 3 2 2 2" xfId="46" xr:uid="{00000000-0005-0000-0000-000021000000}"/>
    <cellStyle name="一般 2 3 3 2 3" xfId="47" xr:uid="{00000000-0005-0000-0000-000022000000}"/>
    <cellStyle name="一般 2 3 3 3" xfId="48" xr:uid="{00000000-0005-0000-0000-000023000000}"/>
    <cellStyle name="一般 2 3 3 3 2" xfId="49" xr:uid="{00000000-0005-0000-0000-000024000000}"/>
    <cellStyle name="一般 2 3 3 4" xfId="50" xr:uid="{00000000-0005-0000-0000-000025000000}"/>
    <cellStyle name="一般 2 3 4" xfId="51" xr:uid="{00000000-0005-0000-0000-000026000000}"/>
    <cellStyle name="一般 2 3 4 2" xfId="52" xr:uid="{00000000-0005-0000-0000-000027000000}"/>
    <cellStyle name="一般 2 3 4 2 2" xfId="53" xr:uid="{00000000-0005-0000-0000-000028000000}"/>
    <cellStyle name="一般 2 3 4 3" xfId="54" xr:uid="{00000000-0005-0000-0000-000029000000}"/>
    <cellStyle name="一般 2 3 5" xfId="55" xr:uid="{00000000-0005-0000-0000-00002A000000}"/>
    <cellStyle name="一般 2 3 5 2" xfId="56" xr:uid="{00000000-0005-0000-0000-00002B000000}"/>
    <cellStyle name="一般 2 3 6" xfId="57" xr:uid="{00000000-0005-0000-0000-00002C000000}"/>
    <cellStyle name="一般 2 4" xfId="58" xr:uid="{00000000-0005-0000-0000-00002D000000}"/>
    <cellStyle name="一般 2 4 2" xfId="59" xr:uid="{00000000-0005-0000-0000-00002E000000}"/>
    <cellStyle name="一般 2 4 2 2" xfId="60" xr:uid="{00000000-0005-0000-0000-00002F000000}"/>
    <cellStyle name="一般 2 4 2 2 2" xfId="61" xr:uid="{00000000-0005-0000-0000-000030000000}"/>
    <cellStyle name="一般 2 4 2 2 2 2" xfId="62" xr:uid="{00000000-0005-0000-0000-000031000000}"/>
    <cellStyle name="一般 2 4 2 2 3" xfId="63" xr:uid="{00000000-0005-0000-0000-000032000000}"/>
    <cellStyle name="一般 2 4 2 3" xfId="64" xr:uid="{00000000-0005-0000-0000-000033000000}"/>
    <cellStyle name="一般 2 4 2 3 2" xfId="65" xr:uid="{00000000-0005-0000-0000-000034000000}"/>
    <cellStyle name="一般 2 4 2 4" xfId="66" xr:uid="{00000000-0005-0000-0000-000035000000}"/>
    <cellStyle name="一般 2 4 3" xfId="67" xr:uid="{00000000-0005-0000-0000-000036000000}"/>
    <cellStyle name="一般 2 4 3 2" xfId="68" xr:uid="{00000000-0005-0000-0000-000037000000}"/>
    <cellStyle name="一般 2 4 3 2 2" xfId="69" xr:uid="{00000000-0005-0000-0000-000038000000}"/>
    <cellStyle name="一般 2 4 3 3" xfId="70" xr:uid="{00000000-0005-0000-0000-000039000000}"/>
    <cellStyle name="一般 2 4 4" xfId="71" xr:uid="{00000000-0005-0000-0000-00003A000000}"/>
    <cellStyle name="一般 2 4 4 2" xfId="72" xr:uid="{00000000-0005-0000-0000-00003B000000}"/>
    <cellStyle name="一般 2 4 5" xfId="73" xr:uid="{00000000-0005-0000-0000-00003C000000}"/>
    <cellStyle name="一般 2 5" xfId="74" xr:uid="{00000000-0005-0000-0000-00003D000000}"/>
    <cellStyle name="一般 2 5 2" xfId="75" xr:uid="{00000000-0005-0000-0000-00003E000000}"/>
    <cellStyle name="一般 2 5 2 2" xfId="76" xr:uid="{00000000-0005-0000-0000-00003F000000}"/>
    <cellStyle name="一般 2 5 2 2 2" xfId="77" xr:uid="{00000000-0005-0000-0000-000040000000}"/>
    <cellStyle name="一般 2 5 2 3" xfId="78" xr:uid="{00000000-0005-0000-0000-000041000000}"/>
    <cellStyle name="一般 2 5 3" xfId="79" xr:uid="{00000000-0005-0000-0000-000042000000}"/>
    <cellStyle name="一般 2 5 3 2" xfId="80" xr:uid="{00000000-0005-0000-0000-000043000000}"/>
    <cellStyle name="一般 2 5 4" xfId="81" xr:uid="{00000000-0005-0000-0000-000044000000}"/>
    <cellStyle name="一般 2 6" xfId="82" xr:uid="{00000000-0005-0000-0000-000045000000}"/>
    <cellStyle name="一般 2 6 2" xfId="83" xr:uid="{00000000-0005-0000-0000-000046000000}"/>
    <cellStyle name="一般 2 6 2 2" xfId="84" xr:uid="{00000000-0005-0000-0000-000047000000}"/>
    <cellStyle name="一般 2 6 3" xfId="85" xr:uid="{00000000-0005-0000-0000-000048000000}"/>
    <cellStyle name="一般 2 7" xfId="86" xr:uid="{00000000-0005-0000-0000-000049000000}"/>
    <cellStyle name="一般 2 7 2" xfId="87" xr:uid="{00000000-0005-0000-0000-00004A000000}"/>
    <cellStyle name="一般 2 8" xfId="88" xr:uid="{00000000-0005-0000-0000-00004B000000}"/>
    <cellStyle name="一般 2 9" xfId="89" xr:uid="{00000000-0005-0000-0000-00004C000000}"/>
    <cellStyle name="一般 20" xfId="90" xr:uid="{00000000-0005-0000-0000-00004D000000}"/>
    <cellStyle name="一般 21" xfId="91" xr:uid="{00000000-0005-0000-0000-00004E000000}"/>
    <cellStyle name="一般 22" xfId="92" xr:uid="{00000000-0005-0000-0000-00004F000000}"/>
    <cellStyle name="一般 23" xfId="93" xr:uid="{00000000-0005-0000-0000-000050000000}"/>
    <cellStyle name="一般 24" xfId="94" xr:uid="{00000000-0005-0000-0000-000051000000}"/>
    <cellStyle name="一般 25" xfId="95" xr:uid="{00000000-0005-0000-0000-000052000000}"/>
    <cellStyle name="一般 25 2" xfId="96" xr:uid="{00000000-0005-0000-0000-000053000000}"/>
    <cellStyle name="一般 25 2 2" xfId="97" xr:uid="{00000000-0005-0000-0000-000054000000}"/>
    <cellStyle name="一般 25 2 2 2" xfId="98" xr:uid="{00000000-0005-0000-0000-000055000000}"/>
    <cellStyle name="一般 25 2 2 2 2" xfId="99" xr:uid="{00000000-0005-0000-0000-000056000000}"/>
    <cellStyle name="一般 25 2 2 3" xfId="100" xr:uid="{00000000-0005-0000-0000-000057000000}"/>
    <cellStyle name="一般 25 2 3" xfId="101" xr:uid="{00000000-0005-0000-0000-000058000000}"/>
    <cellStyle name="一般 25 2 3 2" xfId="102" xr:uid="{00000000-0005-0000-0000-000059000000}"/>
    <cellStyle name="一般 25 2 4" xfId="103" xr:uid="{00000000-0005-0000-0000-00005A000000}"/>
    <cellStyle name="一般 25 3" xfId="104" xr:uid="{00000000-0005-0000-0000-00005B000000}"/>
    <cellStyle name="一般 25 3 2" xfId="105" xr:uid="{00000000-0005-0000-0000-00005C000000}"/>
    <cellStyle name="一般 25 3 2 2" xfId="106" xr:uid="{00000000-0005-0000-0000-00005D000000}"/>
    <cellStyle name="一般 25 3 3" xfId="107" xr:uid="{00000000-0005-0000-0000-00005E000000}"/>
    <cellStyle name="一般 25 4" xfId="108" xr:uid="{00000000-0005-0000-0000-00005F000000}"/>
    <cellStyle name="一般 25 4 2" xfId="109" xr:uid="{00000000-0005-0000-0000-000060000000}"/>
    <cellStyle name="一般 25 5" xfId="110" xr:uid="{00000000-0005-0000-0000-000061000000}"/>
    <cellStyle name="一般 26" xfId="111" xr:uid="{00000000-0005-0000-0000-000062000000}"/>
    <cellStyle name="一般 26 2" xfId="112" xr:uid="{00000000-0005-0000-0000-000063000000}"/>
    <cellStyle name="一般 26 2 2" xfId="113" xr:uid="{00000000-0005-0000-0000-000064000000}"/>
    <cellStyle name="一般 26 2 2 2" xfId="114" xr:uid="{00000000-0005-0000-0000-000065000000}"/>
    <cellStyle name="一般 26 2 3" xfId="115" xr:uid="{00000000-0005-0000-0000-000066000000}"/>
    <cellStyle name="一般 26 3" xfId="116" xr:uid="{00000000-0005-0000-0000-000067000000}"/>
    <cellStyle name="一般 26 3 2" xfId="117" xr:uid="{00000000-0005-0000-0000-000068000000}"/>
    <cellStyle name="一般 26 4" xfId="118" xr:uid="{00000000-0005-0000-0000-000069000000}"/>
    <cellStyle name="一般 27" xfId="119" xr:uid="{00000000-0005-0000-0000-00006A000000}"/>
    <cellStyle name="一般 28" xfId="120" xr:uid="{00000000-0005-0000-0000-00006B000000}"/>
    <cellStyle name="一般 28 2" xfId="121" xr:uid="{00000000-0005-0000-0000-00006C000000}"/>
    <cellStyle name="一般 28 2 2" xfId="122" xr:uid="{00000000-0005-0000-0000-00006D000000}"/>
    <cellStyle name="一般 28 2 2 2" xfId="123" xr:uid="{00000000-0005-0000-0000-00006E000000}"/>
    <cellStyle name="一般 28 2 3" xfId="124" xr:uid="{00000000-0005-0000-0000-00006F000000}"/>
    <cellStyle name="一般 28 3" xfId="125" xr:uid="{00000000-0005-0000-0000-000070000000}"/>
    <cellStyle name="一般 28 3 2" xfId="126" xr:uid="{00000000-0005-0000-0000-000071000000}"/>
    <cellStyle name="一般 28 4" xfId="127" xr:uid="{00000000-0005-0000-0000-000072000000}"/>
    <cellStyle name="一般 29" xfId="128" xr:uid="{00000000-0005-0000-0000-000073000000}"/>
    <cellStyle name="一般 3" xfId="129" xr:uid="{00000000-0005-0000-0000-000074000000}"/>
    <cellStyle name="一般 3 2" xfId="130" xr:uid="{00000000-0005-0000-0000-000075000000}"/>
    <cellStyle name="一般 30" xfId="131" xr:uid="{00000000-0005-0000-0000-000076000000}"/>
    <cellStyle name="一般 30 2" xfId="132" xr:uid="{00000000-0005-0000-0000-000077000000}"/>
    <cellStyle name="一般 30 2 2" xfId="133" xr:uid="{00000000-0005-0000-0000-000078000000}"/>
    <cellStyle name="一般 30 3" xfId="134" xr:uid="{00000000-0005-0000-0000-000079000000}"/>
    <cellStyle name="一般 31" xfId="135" xr:uid="{00000000-0005-0000-0000-00007A000000}"/>
    <cellStyle name="一般 31 2" xfId="136" xr:uid="{00000000-0005-0000-0000-00007B000000}"/>
    <cellStyle name="一般 31 2 2" xfId="137" xr:uid="{00000000-0005-0000-0000-00007C000000}"/>
    <cellStyle name="一般 31 3" xfId="138" xr:uid="{00000000-0005-0000-0000-00007D000000}"/>
    <cellStyle name="一般 32" xfId="139" xr:uid="{00000000-0005-0000-0000-00007E000000}"/>
    <cellStyle name="一般 32 2" xfId="140" xr:uid="{00000000-0005-0000-0000-00007F000000}"/>
    <cellStyle name="一般 32 2 2" xfId="141" xr:uid="{00000000-0005-0000-0000-000080000000}"/>
    <cellStyle name="一般 32 3" xfId="142" xr:uid="{00000000-0005-0000-0000-000081000000}"/>
    <cellStyle name="一般 33" xfId="143" xr:uid="{00000000-0005-0000-0000-000082000000}"/>
    <cellStyle name="一般 33 2" xfId="144" xr:uid="{00000000-0005-0000-0000-000083000000}"/>
    <cellStyle name="一般 34" xfId="145" xr:uid="{00000000-0005-0000-0000-000084000000}"/>
    <cellStyle name="一般 35" xfId="146" xr:uid="{00000000-0005-0000-0000-000085000000}"/>
    <cellStyle name="一般 35 2" xfId="147" xr:uid="{00000000-0005-0000-0000-000086000000}"/>
    <cellStyle name="一般 36" xfId="148" xr:uid="{00000000-0005-0000-0000-000087000000}"/>
    <cellStyle name="一般 36 2" xfId="149" xr:uid="{00000000-0005-0000-0000-000088000000}"/>
    <cellStyle name="一般 37" xfId="150" xr:uid="{00000000-0005-0000-0000-000089000000}"/>
    <cellStyle name="一般 37 2" xfId="151" xr:uid="{00000000-0005-0000-0000-00008A000000}"/>
    <cellStyle name="一般 38" xfId="152" xr:uid="{00000000-0005-0000-0000-00008B000000}"/>
    <cellStyle name="一般 38 2" xfId="153" xr:uid="{00000000-0005-0000-0000-00008C000000}"/>
    <cellStyle name="一般 39" xfId="154" xr:uid="{00000000-0005-0000-0000-00008D000000}"/>
    <cellStyle name="一般 39 2" xfId="155" xr:uid="{00000000-0005-0000-0000-00008E000000}"/>
    <cellStyle name="一般 4" xfId="156" xr:uid="{00000000-0005-0000-0000-00008F000000}"/>
    <cellStyle name="一般 4 2" xfId="157" xr:uid="{00000000-0005-0000-0000-000090000000}"/>
    <cellStyle name="一般 4 2 2" xfId="158" xr:uid="{00000000-0005-0000-0000-000091000000}"/>
    <cellStyle name="一般 4 2 2 2" xfId="159" xr:uid="{00000000-0005-0000-0000-000092000000}"/>
    <cellStyle name="一般 4 2 2 2 2" xfId="160" xr:uid="{00000000-0005-0000-0000-000093000000}"/>
    <cellStyle name="一般 4 2 2 2 2 2" xfId="161" xr:uid="{00000000-0005-0000-0000-000094000000}"/>
    <cellStyle name="一般 4 2 2 2 3" xfId="162" xr:uid="{00000000-0005-0000-0000-000095000000}"/>
    <cellStyle name="一般 4 2 2 3" xfId="163" xr:uid="{00000000-0005-0000-0000-000096000000}"/>
    <cellStyle name="一般 4 2 2 3 2" xfId="164" xr:uid="{00000000-0005-0000-0000-000097000000}"/>
    <cellStyle name="一般 4 2 2 4" xfId="165" xr:uid="{00000000-0005-0000-0000-000098000000}"/>
    <cellStyle name="一般 4 2 3" xfId="166" xr:uid="{00000000-0005-0000-0000-000099000000}"/>
    <cellStyle name="一般 4 2 3 2" xfId="167" xr:uid="{00000000-0005-0000-0000-00009A000000}"/>
    <cellStyle name="一般 4 2 3 2 2" xfId="168" xr:uid="{00000000-0005-0000-0000-00009B000000}"/>
    <cellStyle name="一般 4 2 3 3" xfId="169" xr:uid="{00000000-0005-0000-0000-00009C000000}"/>
    <cellStyle name="一般 4 2 4" xfId="170" xr:uid="{00000000-0005-0000-0000-00009D000000}"/>
    <cellStyle name="一般 4 2 4 2" xfId="171" xr:uid="{00000000-0005-0000-0000-00009E000000}"/>
    <cellStyle name="一般 4 2 5" xfId="172" xr:uid="{00000000-0005-0000-0000-00009F000000}"/>
    <cellStyle name="一般 4 3" xfId="173" xr:uid="{00000000-0005-0000-0000-0000A0000000}"/>
    <cellStyle name="一般 4 3 2" xfId="174" xr:uid="{00000000-0005-0000-0000-0000A1000000}"/>
    <cellStyle name="一般 4 3 2 2" xfId="175" xr:uid="{00000000-0005-0000-0000-0000A2000000}"/>
    <cellStyle name="一般 4 3 2 2 2" xfId="176" xr:uid="{00000000-0005-0000-0000-0000A3000000}"/>
    <cellStyle name="一般 4 3 2 3" xfId="177" xr:uid="{00000000-0005-0000-0000-0000A4000000}"/>
    <cellStyle name="一般 4 3 3" xfId="178" xr:uid="{00000000-0005-0000-0000-0000A5000000}"/>
    <cellStyle name="一般 4 3 3 2" xfId="179" xr:uid="{00000000-0005-0000-0000-0000A6000000}"/>
    <cellStyle name="一般 4 3 4" xfId="180" xr:uid="{00000000-0005-0000-0000-0000A7000000}"/>
    <cellStyle name="一般 4 4" xfId="181" xr:uid="{00000000-0005-0000-0000-0000A8000000}"/>
    <cellStyle name="一般 4 4 2" xfId="182" xr:uid="{00000000-0005-0000-0000-0000A9000000}"/>
    <cellStyle name="一般 4 4 2 2" xfId="183" xr:uid="{00000000-0005-0000-0000-0000AA000000}"/>
    <cellStyle name="一般 4 4 3" xfId="184" xr:uid="{00000000-0005-0000-0000-0000AB000000}"/>
    <cellStyle name="一般 4 5" xfId="185" xr:uid="{00000000-0005-0000-0000-0000AC000000}"/>
    <cellStyle name="一般 4 5 2" xfId="186" xr:uid="{00000000-0005-0000-0000-0000AD000000}"/>
    <cellStyle name="一般 4 6" xfId="187" xr:uid="{00000000-0005-0000-0000-0000AE000000}"/>
    <cellStyle name="一般 40" xfId="188" xr:uid="{00000000-0005-0000-0000-0000AF000000}"/>
    <cellStyle name="一般 41" xfId="189" xr:uid="{00000000-0005-0000-0000-0000B0000000}"/>
    <cellStyle name="一般 42" xfId="190" xr:uid="{00000000-0005-0000-0000-0000B1000000}"/>
    <cellStyle name="一般 43" xfId="191" xr:uid="{00000000-0005-0000-0000-0000B2000000}"/>
    <cellStyle name="一般 44" xfId="192" xr:uid="{00000000-0005-0000-0000-0000B3000000}"/>
    <cellStyle name="一般 45" xfId="193" xr:uid="{00000000-0005-0000-0000-0000B4000000}"/>
    <cellStyle name="一般 46" xfId="194" xr:uid="{00000000-0005-0000-0000-0000B5000000}"/>
    <cellStyle name="一般 47" xfId="195" xr:uid="{00000000-0005-0000-0000-0000B6000000}"/>
    <cellStyle name="一般 48" xfId="196" xr:uid="{00000000-0005-0000-0000-0000B7000000}"/>
    <cellStyle name="一般 49" xfId="197" xr:uid="{00000000-0005-0000-0000-0000B8000000}"/>
    <cellStyle name="一般 5" xfId="198" xr:uid="{00000000-0005-0000-0000-0000B9000000}"/>
    <cellStyle name="一般 50" xfId="199" xr:uid="{00000000-0005-0000-0000-0000BA000000}"/>
    <cellStyle name="一般 51" xfId="200" xr:uid="{00000000-0005-0000-0000-0000BB000000}"/>
    <cellStyle name="一般 52" xfId="201" xr:uid="{00000000-0005-0000-0000-0000BC000000}"/>
    <cellStyle name="一般 53" xfId="2597" xr:uid="{00000000-0005-0000-0000-0000BD000000}"/>
    <cellStyle name="一般 54" xfId="2601" xr:uid="{40A17E40-E44F-4FE7-8466-D2D2666835D1}"/>
    <cellStyle name="一般 6" xfId="202" xr:uid="{00000000-0005-0000-0000-0000BE000000}"/>
    <cellStyle name="一般 6 2" xfId="203" xr:uid="{00000000-0005-0000-0000-0000BF000000}"/>
    <cellStyle name="一般 6 2 2" xfId="204" xr:uid="{00000000-0005-0000-0000-0000C0000000}"/>
    <cellStyle name="一般 6 2 2 2" xfId="205" xr:uid="{00000000-0005-0000-0000-0000C1000000}"/>
    <cellStyle name="一般 6 2 2 2 2" xfId="206" xr:uid="{00000000-0005-0000-0000-0000C2000000}"/>
    <cellStyle name="一般 6 2 2 3" xfId="207" xr:uid="{00000000-0005-0000-0000-0000C3000000}"/>
    <cellStyle name="一般 6 2 3" xfId="208" xr:uid="{00000000-0005-0000-0000-0000C4000000}"/>
    <cellStyle name="一般 6 2 3 2" xfId="209" xr:uid="{00000000-0005-0000-0000-0000C5000000}"/>
    <cellStyle name="一般 6 2 4" xfId="210" xr:uid="{00000000-0005-0000-0000-0000C6000000}"/>
    <cellStyle name="一般 6 3" xfId="211" xr:uid="{00000000-0005-0000-0000-0000C7000000}"/>
    <cellStyle name="一般 6 3 2" xfId="212" xr:uid="{00000000-0005-0000-0000-0000C8000000}"/>
    <cellStyle name="一般 6 3 2 2" xfId="213" xr:uid="{00000000-0005-0000-0000-0000C9000000}"/>
    <cellStyle name="一般 6 3 3" xfId="214" xr:uid="{00000000-0005-0000-0000-0000CA000000}"/>
    <cellStyle name="一般 6 4" xfId="215" xr:uid="{00000000-0005-0000-0000-0000CB000000}"/>
    <cellStyle name="一般 6 4 2" xfId="216" xr:uid="{00000000-0005-0000-0000-0000CC000000}"/>
    <cellStyle name="一般 6 5" xfId="217" xr:uid="{00000000-0005-0000-0000-0000CD000000}"/>
    <cellStyle name="一般 7" xfId="218" xr:uid="{00000000-0005-0000-0000-0000CE000000}"/>
    <cellStyle name="一般 8" xfId="219" xr:uid="{00000000-0005-0000-0000-0000CF000000}"/>
    <cellStyle name="一般 9" xfId="220" xr:uid="{00000000-0005-0000-0000-0000D0000000}"/>
    <cellStyle name="千分位" xfId="7" builtinId="3"/>
    <cellStyle name="千分位 10" xfId="222" xr:uid="{00000000-0005-0000-0000-0000D4000000}"/>
    <cellStyle name="千分位 10 2" xfId="223" xr:uid="{00000000-0005-0000-0000-0000D5000000}"/>
    <cellStyle name="千分位 10 2 2" xfId="224" xr:uid="{00000000-0005-0000-0000-0000D6000000}"/>
    <cellStyle name="千分位 10 2 2 2" xfId="225" xr:uid="{00000000-0005-0000-0000-0000D7000000}"/>
    <cellStyle name="千分位 10 2 2 2 2" xfId="226" xr:uid="{00000000-0005-0000-0000-0000D8000000}"/>
    <cellStyle name="千分位 10 2 2 2 2 2" xfId="227" xr:uid="{00000000-0005-0000-0000-0000D9000000}"/>
    <cellStyle name="千分位 10 2 2 2 2 2 2" xfId="228" xr:uid="{00000000-0005-0000-0000-0000DA000000}"/>
    <cellStyle name="千分位 10 2 2 2 2 2 2 2" xfId="229" xr:uid="{00000000-0005-0000-0000-0000DB000000}"/>
    <cellStyle name="千分位 10 2 2 2 2 2 3" xfId="230" xr:uid="{00000000-0005-0000-0000-0000DC000000}"/>
    <cellStyle name="千分位 10 2 2 2 2 3" xfId="231" xr:uid="{00000000-0005-0000-0000-0000DD000000}"/>
    <cellStyle name="千分位 10 2 2 2 2 3 2" xfId="232" xr:uid="{00000000-0005-0000-0000-0000DE000000}"/>
    <cellStyle name="千分位 10 2 2 2 2 4" xfId="233" xr:uid="{00000000-0005-0000-0000-0000DF000000}"/>
    <cellStyle name="千分位 10 2 2 2 3" xfId="234" xr:uid="{00000000-0005-0000-0000-0000E0000000}"/>
    <cellStyle name="千分位 10 2 2 2 3 2" xfId="235" xr:uid="{00000000-0005-0000-0000-0000E1000000}"/>
    <cellStyle name="千分位 10 2 2 2 3 2 2" xfId="236" xr:uid="{00000000-0005-0000-0000-0000E2000000}"/>
    <cellStyle name="千分位 10 2 2 2 3 3" xfId="237" xr:uid="{00000000-0005-0000-0000-0000E3000000}"/>
    <cellStyle name="千分位 10 2 2 2 4" xfId="238" xr:uid="{00000000-0005-0000-0000-0000E4000000}"/>
    <cellStyle name="千分位 10 2 2 2 4 2" xfId="239" xr:uid="{00000000-0005-0000-0000-0000E5000000}"/>
    <cellStyle name="千分位 10 2 2 2 5" xfId="240" xr:uid="{00000000-0005-0000-0000-0000E6000000}"/>
    <cellStyle name="千分位 10 2 2 3" xfId="241" xr:uid="{00000000-0005-0000-0000-0000E7000000}"/>
    <cellStyle name="千分位 10 2 2 3 2" xfId="242" xr:uid="{00000000-0005-0000-0000-0000E8000000}"/>
    <cellStyle name="千分位 10 2 2 3 2 2" xfId="243" xr:uid="{00000000-0005-0000-0000-0000E9000000}"/>
    <cellStyle name="千分位 10 2 2 3 2 2 2" xfId="244" xr:uid="{00000000-0005-0000-0000-0000EA000000}"/>
    <cellStyle name="千分位 10 2 2 3 2 3" xfId="245" xr:uid="{00000000-0005-0000-0000-0000EB000000}"/>
    <cellStyle name="千分位 10 2 2 3 3" xfId="246" xr:uid="{00000000-0005-0000-0000-0000EC000000}"/>
    <cellStyle name="千分位 10 2 2 3 3 2" xfId="247" xr:uid="{00000000-0005-0000-0000-0000ED000000}"/>
    <cellStyle name="千分位 10 2 2 3 4" xfId="248" xr:uid="{00000000-0005-0000-0000-0000EE000000}"/>
    <cellStyle name="千分位 10 2 2 4" xfId="249" xr:uid="{00000000-0005-0000-0000-0000EF000000}"/>
    <cellStyle name="千分位 10 2 2 4 2" xfId="250" xr:uid="{00000000-0005-0000-0000-0000F0000000}"/>
    <cellStyle name="千分位 10 2 2 4 2 2" xfId="251" xr:uid="{00000000-0005-0000-0000-0000F1000000}"/>
    <cellStyle name="千分位 10 2 2 4 3" xfId="252" xr:uid="{00000000-0005-0000-0000-0000F2000000}"/>
    <cellStyle name="千分位 10 2 2 5" xfId="253" xr:uid="{00000000-0005-0000-0000-0000F3000000}"/>
    <cellStyle name="千分位 10 2 2 5 2" xfId="254" xr:uid="{00000000-0005-0000-0000-0000F4000000}"/>
    <cellStyle name="千分位 10 2 2 6" xfId="255" xr:uid="{00000000-0005-0000-0000-0000F5000000}"/>
    <cellStyle name="千分位 10 2 3" xfId="256" xr:uid="{00000000-0005-0000-0000-0000F6000000}"/>
    <cellStyle name="千分位 10 2 3 2" xfId="257" xr:uid="{00000000-0005-0000-0000-0000F7000000}"/>
    <cellStyle name="千分位 10 2 3 2 2" xfId="258" xr:uid="{00000000-0005-0000-0000-0000F8000000}"/>
    <cellStyle name="千分位 10 2 3 2 2 2" xfId="259" xr:uid="{00000000-0005-0000-0000-0000F9000000}"/>
    <cellStyle name="千分位 10 2 3 2 2 2 2" xfId="260" xr:uid="{00000000-0005-0000-0000-0000FA000000}"/>
    <cellStyle name="千分位 10 2 3 2 2 3" xfId="261" xr:uid="{00000000-0005-0000-0000-0000FB000000}"/>
    <cellStyle name="千分位 10 2 3 2 3" xfId="262" xr:uid="{00000000-0005-0000-0000-0000FC000000}"/>
    <cellStyle name="千分位 10 2 3 2 3 2" xfId="263" xr:uid="{00000000-0005-0000-0000-0000FD000000}"/>
    <cellStyle name="千分位 10 2 3 2 4" xfId="264" xr:uid="{00000000-0005-0000-0000-0000FE000000}"/>
    <cellStyle name="千分位 10 2 3 3" xfId="265" xr:uid="{00000000-0005-0000-0000-0000FF000000}"/>
    <cellStyle name="千分位 10 2 3 3 2" xfId="266" xr:uid="{00000000-0005-0000-0000-000000010000}"/>
    <cellStyle name="千分位 10 2 3 3 2 2" xfId="267" xr:uid="{00000000-0005-0000-0000-000001010000}"/>
    <cellStyle name="千分位 10 2 3 3 3" xfId="268" xr:uid="{00000000-0005-0000-0000-000002010000}"/>
    <cellStyle name="千分位 10 2 3 4" xfId="269" xr:uid="{00000000-0005-0000-0000-000003010000}"/>
    <cellStyle name="千分位 10 2 3 4 2" xfId="270" xr:uid="{00000000-0005-0000-0000-000004010000}"/>
    <cellStyle name="千分位 10 2 3 5" xfId="271" xr:uid="{00000000-0005-0000-0000-000005010000}"/>
    <cellStyle name="千分位 10 2 4" xfId="272" xr:uid="{00000000-0005-0000-0000-000006010000}"/>
    <cellStyle name="千分位 10 2 4 2" xfId="273" xr:uid="{00000000-0005-0000-0000-000007010000}"/>
    <cellStyle name="千分位 10 2 4 2 2" xfId="274" xr:uid="{00000000-0005-0000-0000-000008010000}"/>
    <cellStyle name="千分位 10 2 4 2 2 2" xfId="275" xr:uid="{00000000-0005-0000-0000-000009010000}"/>
    <cellStyle name="千分位 10 2 4 2 3" xfId="276" xr:uid="{00000000-0005-0000-0000-00000A010000}"/>
    <cellStyle name="千分位 10 2 4 3" xfId="277" xr:uid="{00000000-0005-0000-0000-00000B010000}"/>
    <cellStyle name="千分位 10 2 4 3 2" xfId="278" xr:uid="{00000000-0005-0000-0000-00000C010000}"/>
    <cellStyle name="千分位 10 2 4 4" xfId="279" xr:uid="{00000000-0005-0000-0000-00000D010000}"/>
    <cellStyle name="千分位 10 2 5" xfId="280" xr:uid="{00000000-0005-0000-0000-00000E010000}"/>
    <cellStyle name="千分位 10 2 5 2" xfId="281" xr:uid="{00000000-0005-0000-0000-00000F010000}"/>
    <cellStyle name="千分位 10 2 5 2 2" xfId="282" xr:uid="{00000000-0005-0000-0000-000010010000}"/>
    <cellStyle name="千分位 10 2 5 3" xfId="283" xr:uid="{00000000-0005-0000-0000-000011010000}"/>
    <cellStyle name="千分位 10 2 6" xfId="284" xr:uid="{00000000-0005-0000-0000-000012010000}"/>
    <cellStyle name="千分位 10 2 6 2" xfId="285" xr:uid="{00000000-0005-0000-0000-000013010000}"/>
    <cellStyle name="千分位 10 2 7" xfId="286" xr:uid="{00000000-0005-0000-0000-000014010000}"/>
    <cellStyle name="千分位 10 3" xfId="287" xr:uid="{00000000-0005-0000-0000-000015010000}"/>
    <cellStyle name="千分位 10 3 2" xfId="288" xr:uid="{00000000-0005-0000-0000-000016010000}"/>
    <cellStyle name="千分位 10 3 2 2" xfId="289" xr:uid="{00000000-0005-0000-0000-000017010000}"/>
    <cellStyle name="千分位 10 3 2 2 2" xfId="290" xr:uid="{00000000-0005-0000-0000-000018010000}"/>
    <cellStyle name="千分位 10 3 2 2 2 2" xfId="291" xr:uid="{00000000-0005-0000-0000-000019010000}"/>
    <cellStyle name="千分位 10 3 2 2 2 2 2" xfId="292" xr:uid="{00000000-0005-0000-0000-00001A010000}"/>
    <cellStyle name="千分位 10 3 2 2 2 3" xfId="293" xr:uid="{00000000-0005-0000-0000-00001B010000}"/>
    <cellStyle name="千分位 10 3 2 2 3" xfId="294" xr:uid="{00000000-0005-0000-0000-00001C010000}"/>
    <cellStyle name="千分位 10 3 2 2 3 2" xfId="295" xr:uid="{00000000-0005-0000-0000-00001D010000}"/>
    <cellStyle name="千分位 10 3 2 2 4" xfId="296" xr:uid="{00000000-0005-0000-0000-00001E010000}"/>
    <cellStyle name="千分位 10 3 2 3" xfId="297" xr:uid="{00000000-0005-0000-0000-00001F010000}"/>
    <cellStyle name="千分位 10 3 2 3 2" xfId="298" xr:uid="{00000000-0005-0000-0000-000020010000}"/>
    <cellStyle name="千分位 10 3 2 3 2 2" xfId="299" xr:uid="{00000000-0005-0000-0000-000021010000}"/>
    <cellStyle name="千分位 10 3 2 3 3" xfId="300" xr:uid="{00000000-0005-0000-0000-000022010000}"/>
    <cellStyle name="千分位 10 3 2 4" xfId="301" xr:uid="{00000000-0005-0000-0000-000023010000}"/>
    <cellStyle name="千分位 10 3 2 4 2" xfId="302" xr:uid="{00000000-0005-0000-0000-000024010000}"/>
    <cellStyle name="千分位 10 3 2 5" xfId="303" xr:uid="{00000000-0005-0000-0000-000025010000}"/>
    <cellStyle name="千分位 10 3 3" xfId="304" xr:uid="{00000000-0005-0000-0000-000026010000}"/>
    <cellStyle name="千分位 10 3 3 2" xfId="305" xr:uid="{00000000-0005-0000-0000-000027010000}"/>
    <cellStyle name="千分位 10 3 3 2 2" xfId="306" xr:uid="{00000000-0005-0000-0000-000028010000}"/>
    <cellStyle name="千分位 10 3 3 2 2 2" xfId="307" xr:uid="{00000000-0005-0000-0000-000029010000}"/>
    <cellStyle name="千分位 10 3 3 2 3" xfId="308" xr:uid="{00000000-0005-0000-0000-00002A010000}"/>
    <cellStyle name="千分位 10 3 3 3" xfId="309" xr:uid="{00000000-0005-0000-0000-00002B010000}"/>
    <cellStyle name="千分位 10 3 3 3 2" xfId="310" xr:uid="{00000000-0005-0000-0000-00002C010000}"/>
    <cellStyle name="千分位 10 3 3 4" xfId="311" xr:uid="{00000000-0005-0000-0000-00002D010000}"/>
    <cellStyle name="千分位 10 3 4" xfId="312" xr:uid="{00000000-0005-0000-0000-00002E010000}"/>
    <cellStyle name="千分位 10 3 4 2" xfId="313" xr:uid="{00000000-0005-0000-0000-00002F010000}"/>
    <cellStyle name="千分位 10 3 4 2 2" xfId="314" xr:uid="{00000000-0005-0000-0000-000030010000}"/>
    <cellStyle name="千分位 10 3 4 3" xfId="315" xr:uid="{00000000-0005-0000-0000-000031010000}"/>
    <cellStyle name="千分位 10 3 5" xfId="316" xr:uid="{00000000-0005-0000-0000-000032010000}"/>
    <cellStyle name="千分位 10 3 5 2" xfId="317" xr:uid="{00000000-0005-0000-0000-000033010000}"/>
    <cellStyle name="千分位 10 3 6" xfId="318" xr:uid="{00000000-0005-0000-0000-000034010000}"/>
    <cellStyle name="千分位 10 4" xfId="319" xr:uid="{00000000-0005-0000-0000-000035010000}"/>
    <cellStyle name="千分位 10 4 2" xfId="320" xr:uid="{00000000-0005-0000-0000-000036010000}"/>
    <cellStyle name="千分位 10 4 2 2" xfId="321" xr:uid="{00000000-0005-0000-0000-000037010000}"/>
    <cellStyle name="千分位 10 4 2 2 2" xfId="322" xr:uid="{00000000-0005-0000-0000-000038010000}"/>
    <cellStyle name="千分位 10 4 2 2 2 2" xfId="323" xr:uid="{00000000-0005-0000-0000-000039010000}"/>
    <cellStyle name="千分位 10 4 2 2 3" xfId="324" xr:uid="{00000000-0005-0000-0000-00003A010000}"/>
    <cellStyle name="千分位 10 4 2 3" xfId="325" xr:uid="{00000000-0005-0000-0000-00003B010000}"/>
    <cellStyle name="千分位 10 4 2 3 2" xfId="326" xr:uid="{00000000-0005-0000-0000-00003C010000}"/>
    <cellStyle name="千分位 10 4 2 4" xfId="327" xr:uid="{00000000-0005-0000-0000-00003D010000}"/>
    <cellStyle name="千分位 10 4 3" xfId="328" xr:uid="{00000000-0005-0000-0000-00003E010000}"/>
    <cellStyle name="千分位 10 4 3 2" xfId="329" xr:uid="{00000000-0005-0000-0000-00003F010000}"/>
    <cellStyle name="千分位 10 4 3 2 2" xfId="330" xr:uid="{00000000-0005-0000-0000-000040010000}"/>
    <cellStyle name="千分位 10 4 3 3" xfId="331" xr:uid="{00000000-0005-0000-0000-000041010000}"/>
    <cellStyle name="千分位 10 4 4" xfId="332" xr:uid="{00000000-0005-0000-0000-000042010000}"/>
    <cellStyle name="千分位 10 4 4 2" xfId="333" xr:uid="{00000000-0005-0000-0000-000043010000}"/>
    <cellStyle name="千分位 10 4 5" xfId="334" xr:uid="{00000000-0005-0000-0000-000044010000}"/>
    <cellStyle name="千分位 10 5" xfId="335" xr:uid="{00000000-0005-0000-0000-000045010000}"/>
    <cellStyle name="千分位 10 5 2" xfId="336" xr:uid="{00000000-0005-0000-0000-000046010000}"/>
    <cellStyle name="千分位 10 5 2 2" xfId="337" xr:uid="{00000000-0005-0000-0000-000047010000}"/>
    <cellStyle name="千分位 10 5 2 2 2" xfId="338" xr:uid="{00000000-0005-0000-0000-000048010000}"/>
    <cellStyle name="千分位 10 5 2 3" xfId="339" xr:uid="{00000000-0005-0000-0000-000049010000}"/>
    <cellStyle name="千分位 10 5 3" xfId="340" xr:uid="{00000000-0005-0000-0000-00004A010000}"/>
    <cellStyle name="千分位 10 5 3 2" xfId="341" xr:uid="{00000000-0005-0000-0000-00004B010000}"/>
    <cellStyle name="千分位 10 5 4" xfId="342" xr:uid="{00000000-0005-0000-0000-00004C010000}"/>
    <cellStyle name="千分位 10 6" xfId="343" xr:uid="{00000000-0005-0000-0000-00004D010000}"/>
    <cellStyle name="千分位 10 6 2" xfId="344" xr:uid="{00000000-0005-0000-0000-00004E010000}"/>
    <cellStyle name="千分位 10 6 2 2" xfId="345" xr:uid="{00000000-0005-0000-0000-00004F010000}"/>
    <cellStyle name="千分位 10 6 3" xfId="346" xr:uid="{00000000-0005-0000-0000-000050010000}"/>
    <cellStyle name="千分位 10 7" xfId="347" xr:uid="{00000000-0005-0000-0000-000051010000}"/>
    <cellStyle name="千分位 10 7 2" xfId="348" xr:uid="{00000000-0005-0000-0000-000052010000}"/>
    <cellStyle name="千分位 10 8" xfId="349" xr:uid="{00000000-0005-0000-0000-000053010000}"/>
    <cellStyle name="千分位 11" xfId="350" xr:uid="{00000000-0005-0000-0000-000054010000}"/>
    <cellStyle name="千分位 11 2" xfId="351" xr:uid="{00000000-0005-0000-0000-000055010000}"/>
    <cellStyle name="千分位 11 2 2" xfId="352" xr:uid="{00000000-0005-0000-0000-000056010000}"/>
    <cellStyle name="千分位 11 2 2 2" xfId="353" xr:uid="{00000000-0005-0000-0000-000057010000}"/>
    <cellStyle name="千分位 11 2 2 2 2" xfId="354" xr:uid="{00000000-0005-0000-0000-000058010000}"/>
    <cellStyle name="千分位 11 2 2 2 2 2" xfId="355" xr:uid="{00000000-0005-0000-0000-000059010000}"/>
    <cellStyle name="千分位 11 2 2 2 2 2 2" xfId="356" xr:uid="{00000000-0005-0000-0000-00005A010000}"/>
    <cellStyle name="千分位 11 2 2 2 2 2 2 2" xfId="357" xr:uid="{00000000-0005-0000-0000-00005B010000}"/>
    <cellStyle name="千分位 11 2 2 2 2 2 3" xfId="358" xr:uid="{00000000-0005-0000-0000-00005C010000}"/>
    <cellStyle name="千分位 11 2 2 2 2 3" xfId="359" xr:uid="{00000000-0005-0000-0000-00005D010000}"/>
    <cellStyle name="千分位 11 2 2 2 2 3 2" xfId="360" xr:uid="{00000000-0005-0000-0000-00005E010000}"/>
    <cellStyle name="千分位 11 2 2 2 2 4" xfId="361" xr:uid="{00000000-0005-0000-0000-00005F010000}"/>
    <cellStyle name="千分位 11 2 2 2 3" xfId="362" xr:uid="{00000000-0005-0000-0000-000060010000}"/>
    <cellStyle name="千分位 11 2 2 2 3 2" xfId="363" xr:uid="{00000000-0005-0000-0000-000061010000}"/>
    <cellStyle name="千分位 11 2 2 2 3 2 2" xfId="364" xr:uid="{00000000-0005-0000-0000-000062010000}"/>
    <cellStyle name="千分位 11 2 2 2 3 3" xfId="365" xr:uid="{00000000-0005-0000-0000-000063010000}"/>
    <cellStyle name="千分位 11 2 2 2 4" xfId="366" xr:uid="{00000000-0005-0000-0000-000064010000}"/>
    <cellStyle name="千分位 11 2 2 2 4 2" xfId="367" xr:uid="{00000000-0005-0000-0000-000065010000}"/>
    <cellStyle name="千分位 11 2 2 2 5" xfId="368" xr:uid="{00000000-0005-0000-0000-000066010000}"/>
    <cellStyle name="千分位 11 2 2 3" xfId="369" xr:uid="{00000000-0005-0000-0000-000067010000}"/>
    <cellStyle name="千分位 11 2 2 3 2" xfId="370" xr:uid="{00000000-0005-0000-0000-000068010000}"/>
    <cellStyle name="千分位 11 2 2 3 2 2" xfId="371" xr:uid="{00000000-0005-0000-0000-000069010000}"/>
    <cellStyle name="千分位 11 2 2 3 2 2 2" xfId="372" xr:uid="{00000000-0005-0000-0000-00006A010000}"/>
    <cellStyle name="千分位 11 2 2 3 2 3" xfId="373" xr:uid="{00000000-0005-0000-0000-00006B010000}"/>
    <cellStyle name="千分位 11 2 2 3 3" xfId="374" xr:uid="{00000000-0005-0000-0000-00006C010000}"/>
    <cellStyle name="千分位 11 2 2 3 3 2" xfId="375" xr:uid="{00000000-0005-0000-0000-00006D010000}"/>
    <cellStyle name="千分位 11 2 2 3 4" xfId="376" xr:uid="{00000000-0005-0000-0000-00006E010000}"/>
    <cellStyle name="千分位 11 2 2 4" xfId="377" xr:uid="{00000000-0005-0000-0000-00006F010000}"/>
    <cellStyle name="千分位 11 2 2 4 2" xfId="378" xr:uid="{00000000-0005-0000-0000-000070010000}"/>
    <cellStyle name="千分位 11 2 2 4 2 2" xfId="379" xr:uid="{00000000-0005-0000-0000-000071010000}"/>
    <cellStyle name="千分位 11 2 2 4 3" xfId="380" xr:uid="{00000000-0005-0000-0000-000072010000}"/>
    <cellStyle name="千分位 11 2 2 5" xfId="381" xr:uid="{00000000-0005-0000-0000-000073010000}"/>
    <cellStyle name="千分位 11 2 2 5 2" xfId="382" xr:uid="{00000000-0005-0000-0000-000074010000}"/>
    <cellStyle name="千分位 11 2 2 6" xfId="383" xr:uid="{00000000-0005-0000-0000-000075010000}"/>
    <cellStyle name="千分位 11 2 3" xfId="384" xr:uid="{00000000-0005-0000-0000-000076010000}"/>
    <cellStyle name="千分位 11 2 3 2" xfId="385" xr:uid="{00000000-0005-0000-0000-000077010000}"/>
    <cellStyle name="千分位 11 2 3 2 2" xfId="386" xr:uid="{00000000-0005-0000-0000-000078010000}"/>
    <cellStyle name="千分位 11 2 3 2 2 2" xfId="387" xr:uid="{00000000-0005-0000-0000-000079010000}"/>
    <cellStyle name="千分位 11 2 3 2 2 2 2" xfId="388" xr:uid="{00000000-0005-0000-0000-00007A010000}"/>
    <cellStyle name="千分位 11 2 3 2 2 3" xfId="389" xr:uid="{00000000-0005-0000-0000-00007B010000}"/>
    <cellStyle name="千分位 11 2 3 2 3" xfId="390" xr:uid="{00000000-0005-0000-0000-00007C010000}"/>
    <cellStyle name="千分位 11 2 3 2 3 2" xfId="391" xr:uid="{00000000-0005-0000-0000-00007D010000}"/>
    <cellStyle name="千分位 11 2 3 2 4" xfId="392" xr:uid="{00000000-0005-0000-0000-00007E010000}"/>
    <cellStyle name="千分位 11 2 3 3" xfId="393" xr:uid="{00000000-0005-0000-0000-00007F010000}"/>
    <cellStyle name="千分位 11 2 3 3 2" xfId="394" xr:uid="{00000000-0005-0000-0000-000080010000}"/>
    <cellStyle name="千分位 11 2 3 3 2 2" xfId="395" xr:uid="{00000000-0005-0000-0000-000081010000}"/>
    <cellStyle name="千分位 11 2 3 3 3" xfId="396" xr:uid="{00000000-0005-0000-0000-000082010000}"/>
    <cellStyle name="千分位 11 2 3 4" xfId="397" xr:uid="{00000000-0005-0000-0000-000083010000}"/>
    <cellStyle name="千分位 11 2 3 4 2" xfId="398" xr:uid="{00000000-0005-0000-0000-000084010000}"/>
    <cellStyle name="千分位 11 2 3 5" xfId="399" xr:uid="{00000000-0005-0000-0000-000085010000}"/>
    <cellStyle name="千分位 11 2 4" xfId="400" xr:uid="{00000000-0005-0000-0000-000086010000}"/>
    <cellStyle name="千分位 11 2 4 2" xfId="401" xr:uid="{00000000-0005-0000-0000-000087010000}"/>
    <cellStyle name="千分位 11 2 4 2 2" xfId="402" xr:uid="{00000000-0005-0000-0000-000088010000}"/>
    <cellStyle name="千分位 11 2 4 2 2 2" xfId="403" xr:uid="{00000000-0005-0000-0000-000089010000}"/>
    <cellStyle name="千分位 11 2 4 2 3" xfId="404" xr:uid="{00000000-0005-0000-0000-00008A010000}"/>
    <cellStyle name="千分位 11 2 4 3" xfId="405" xr:uid="{00000000-0005-0000-0000-00008B010000}"/>
    <cellStyle name="千分位 11 2 4 3 2" xfId="406" xr:uid="{00000000-0005-0000-0000-00008C010000}"/>
    <cellStyle name="千分位 11 2 4 4" xfId="407" xr:uid="{00000000-0005-0000-0000-00008D010000}"/>
    <cellStyle name="千分位 11 2 5" xfId="408" xr:uid="{00000000-0005-0000-0000-00008E010000}"/>
    <cellStyle name="千分位 11 2 5 2" xfId="409" xr:uid="{00000000-0005-0000-0000-00008F010000}"/>
    <cellStyle name="千分位 11 2 5 2 2" xfId="410" xr:uid="{00000000-0005-0000-0000-000090010000}"/>
    <cellStyle name="千分位 11 2 5 3" xfId="411" xr:uid="{00000000-0005-0000-0000-000091010000}"/>
    <cellStyle name="千分位 11 2 6" xfId="412" xr:uid="{00000000-0005-0000-0000-000092010000}"/>
    <cellStyle name="千分位 11 2 6 2" xfId="413" xr:uid="{00000000-0005-0000-0000-000093010000}"/>
    <cellStyle name="千分位 11 2 7" xfId="414" xr:uid="{00000000-0005-0000-0000-000094010000}"/>
    <cellStyle name="千分位 11 3" xfId="415" xr:uid="{00000000-0005-0000-0000-000095010000}"/>
    <cellStyle name="千分位 11 3 2" xfId="416" xr:uid="{00000000-0005-0000-0000-000096010000}"/>
    <cellStyle name="千分位 11 3 2 2" xfId="417" xr:uid="{00000000-0005-0000-0000-000097010000}"/>
    <cellStyle name="千分位 11 3 2 2 2" xfId="418" xr:uid="{00000000-0005-0000-0000-000098010000}"/>
    <cellStyle name="千分位 11 3 2 2 2 2" xfId="419" xr:uid="{00000000-0005-0000-0000-000099010000}"/>
    <cellStyle name="千分位 11 3 2 2 2 2 2" xfId="420" xr:uid="{00000000-0005-0000-0000-00009A010000}"/>
    <cellStyle name="千分位 11 3 2 2 2 3" xfId="421" xr:uid="{00000000-0005-0000-0000-00009B010000}"/>
    <cellStyle name="千分位 11 3 2 2 3" xfId="422" xr:uid="{00000000-0005-0000-0000-00009C010000}"/>
    <cellStyle name="千分位 11 3 2 2 3 2" xfId="423" xr:uid="{00000000-0005-0000-0000-00009D010000}"/>
    <cellStyle name="千分位 11 3 2 2 4" xfId="424" xr:uid="{00000000-0005-0000-0000-00009E010000}"/>
    <cellStyle name="千分位 11 3 2 3" xfId="425" xr:uid="{00000000-0005-0000-0000-00009F010000}"/>
    <cellStyle name="千分位 11 3 2 3 2" xfId="426" xr:uid="{00000000-0005-0000-0000-0000A0010000}"/>
    <cellStyle name="千分位 11 3 2 3 2 2" xfId="427" xr:uid="{00000000-0005-0000-0000-0000A1010000}"/>
    <cellStyle name="千分位 11 3 2 3 3" xfId="428" xr:uid="{00000000-0005-0000-0000-0000A2010000}"/>
    <cellStyle name="千分位 11 3 2 4" xfId="429" xr:uid="{00000000-0005-0000-0000-0000A3010000}"/>
    <cellStyle name="千分位 11 3 2 4 2" xfId="430" xr:uid="{00000000-0005-0000-0000-0000A4010000}"/>
    <cellStyle name="千分位 11 3 2 5" xfId="431" xr:uid="{00000000-0005-0000-0000-0000A5010000}"/>
    <cellStyle name="千分位 11 3 3" xfId="432" xr:uid="{00000000-0005-0000-0000-0000A6010000}"/>
    <cellStyle name="千分位 11 3 3 2" xfId="433" xr:uid="{00000000-0005-0000-0000-0000A7010000}"/>
    <cellStyle name="千分位 11 3 3 2 2" xfId="434" xr:uid="{00000000-0005-0000-0000-0000A8010000}"/>
    <cellStyle name="千分位 11 3 3 2 2 2" xfId="435" xr:uid="{00000000-0005-0000-0000-0000A9010000}"/>
    <cellStyle name="千分位 11 3 3 2 3" xfId="436" xr:uid="{00000000-0005-0000-0000-0000AA010000}"/>
    <cellStyle name="千分位 11 3 3 3" xfId="437" xr:uid="{00000000-0005-0000-0000-0000AB010000}"/>
    <cellStyle name="千分位 11 3 3 3 2" xfId="438" xr:uid="{00000000-0005-0000-0000-0000AC010000}"/>
    <cellStyle name="千分位 11 3 3 4" xfId="439" xr:uid="{00000000-0005-0000-0000-0000AD010000}"/>
    <cellStyle name="千分位 11 3 4" xfId="440" xr:uid="{00000000-0005-0000-0000-0000AE010000}"/>
    <cellStyle name="千分位 11 3 4 2" xfId="441" xr:uid="{00000000-0005-0000-0000-0000AF010000}"/>
    <cellStyle name="千分位 11 3 4 2 2" xfId="442" xr:uid="{00000000-0005-0000-0000-0000B0010000}"/>
    <cellStyle name="千分位 11 3 4 3" xfId="443" xr:uid="{00000000-0005-0000-0000-0000B1010000}"/>
    <cellStyle name="千分位 11 3 5" xfId="444" xr:uid="{00000000-0005-0000-0000-0000B2010000}"/>
    <cellStyle name="千分位 11 3 5 2" xfId="445" xr:uid="{00000000-0005-0000-0000-0000B3010000}"/>
    <cellStyle name="千分位 11 3 6" xfId="446" xr:uid="{00000000-0005-0000-0000-0000B4010000}"/>
    <cellStyle name="千分位 11 4" xfId="447" xr:uid="{00000000-0005-0000-0000-0000B5010000}"/>
    <cellStyle name="千分位 11 4 2" xfId="448" xr:uid="{00000000-0005-0000-0000-0000B6010000}"/>
    <cellStyle name="千分位 11 4 2 2" xfId="449" xr:uid="{00000000-0005-0000-0000-0000B7010000}"/>
    <cellStyle name="千分位 11 4 2 2 2" xfId="450" xr:uid="{00000000-0005-0000-0000-0000B8010000}"/>
    <cellStyle name="千分位 11 4 2 2 2 2" xfId="451" xr:uid="{00000000-0005-0000-0000-0000B9010000}"/>
    <cellStyle name="千分位 11 4 2 2 3" xfId="452" xr:uid="{00000000-0005-0000-0000-0000BA010000}"/>
    <cellStyle name="千分位 11 4 2 3" xfId="453" xr:uid="{00000000-0005-0000-0000-0000BB010000}"/>
    <cellStyle name="千分位 11 4 2 3 2" xfId="454" xr:uid="{00000000-0005-0000-0000-0000BC010000}"/>
    <cellStyle name="千分位 11 4 2 4" xfId="455" xr:uid="{00000000-0005-0000-0000-0000BD010000}"/>
    <cellStyle name="千分位 11 4 3" xfId="456" xr:uid="{00000000-0005-0000-0000-0000BE010000}"/>
    <cellStyle name="千分位 11 4 3 2" xfId="457" xr:uid="{00000000-0005-0000-0000-0000BF010000}"/>
    <cellStyle name="千分位 11 4 3 2 2" xfId="458" xr:uid="{00000000-0005-0000-0000-0000C0010000}"/>
    <cellStyle name="千分位 11 4 3 3" xfId="459" xr:uid="{00000000-0005-0000-0000-0000C1010000}"/>
    <cellStyle name="千分位 11 4 4" xfId="460" xr:uid="{00000000-0005-0000-0000-0000C2010000}"/>
    <cellStyle name="千分位 11 4 4 2" xfId="461" xr:uid="{00000000-0005-0000-0000-0000C3010000}"/>
    <cellStyle name="千分位 11 4 5" xfId="462" xr:uid="{00000000-0005-0000-0000-0000C4010000}"/>
    <cellStyle name="千分位 11 5" xfId="463" xr:uid="{00000000-0005-0000-0000-0000C5010000}"/>
    <cellStyle name="千分位 11 5 2" xfId="464" xr:uid="{00000000-0005-0000-0000-0000C6010000}"/>
    <cellStyle name="千分位 11 5 2 2" xfId="465" xr:uid="{00000000-0005-0000-0000-0000C7010000}"/>
    <cellStyle name="千分位 11 5 2 2 2" xfId="466" xr:uid="{00000000-0005-0000-0000-0000C8010000}"/>
    <cellStyle name="千分位 11 5 2 3" xfId="467" xr:uid="{00000000-0005-0000-0000-0000C9010000}"/>
    <cellStyle name="千分位 11 5 3" xfId="468" xr:uid="{00000000-0005-0000-0000-0000CA010000}"/>
    <cellStyle name="千分位 11 5 3 2" xfId="469" xr:uid="{00000000-0005-0000-0000-0000CB010000}"/>
    <cellStyle name="千分位 11 5 4" xfId="470" xr:uid="{00000000-0005-0000-0000-0000CC010000}"/>
    <cellStyle name="千分位 11 6" xfId="471" xr:uid="{00000000-0005-0000-0000-0000CD010000}"/>
    <cellStyle name="千分位 11 6 2" xfId="472" xr:uid="{00000000-0005-0000-0000-0000CE010000}"/>
    <cellStyle name="千分位 11 6 2 2" xfId="473" xr:uid="{00000000-0005-0000-0000-0000CF010000}"/>
    <cellStyle name="千分位 11 6 3" xfId="474" xr:uid="{00000000-0005-0000-0000-0000D0010000}"/>
    <cellStyle name="千分位 11 7" xfId="475" xr:uid="{00000000-0005-0000-0000-0000D1010000}"/>
    <cellStyle name="千分位 11 7 2" xfId="476" xr:uid="{00000000-0005-0000-0000-0000D2010000}"/>
    <cellStyle name="千分位 11 8" xfId="477" xr:uid="{00000000-0005-0000-0000-0000D3010000}"/>
    <cellStyle name="千分位 12" xfId="478" xr:uid="{00000000-0005-0000-0000-0000D4010000}"/>
    <cellStyle name="千分位 12 2" xfId="479" xr:uid="{00000000-0005-0000-0000-0000D5010000}"/>
    <cellStyle name="千分位 12 2 2" xfId="480" xr:uid="{00000000-0005-0000-0000-0000D6010000}"/>
    <cellStyle name="千分位 12 2 2 2" xfId="481" xr:uid="{00000000-0005-0000-0000-0000D7010000}"/>
    <cellStyle name="千分位 12 2 2 2 2" xfId="482" xr:uid="{00000000-0005-0000-0000-0000D8010000}"/>
    <cellStyle name="千分位 12 2 2 2 2 2" xfId="483" xr:uid="{00000000-0005-0000-0000-0000D9010000}"/>
    <cellStyle name="千分位 12 2 2 2 2 2 2" xfId="484" xr:uid="{00000000-0005-0000-0000-0000DA010000}"/>
    <cellStyle name="千分位 12 2 2 2 2 2 2 2" xfId="485" xr:uid="{00000000-0005-0000-0000-0000DB010000}"/>
    <cellStyle name="千分位 12 2 2 2 2 2 3" xfId="486" xr:uid="{00000000-0005-0000-0000-0000DC010000}"/>
    <cellStyle name="千分位 12 2 2 2 2 3" xfId="487" xr:uid="{00000000-0005-0000-0000-0000DD010000}"/>
    <cellStyle name="千分位 12 2 2 2 2 3 2" xfId="488" xr:uid="{00000000-0005-0000-0000-0000DE010000}"/>
    <cellStyle name="千分位 12 2 2 2 2 4" xfId="489" xr:uid="{00000000-0005-0000-0000-0000DF010000}"/>
    <cellStyle name="千分位 12 2 2 2 3" xfId="490" xr:uid="{00000000-0005-0000-0000-0000E0010000}"/>
    <cellStyle name="千分位 12 2 2 2 3 2" xfId="491" xr:uid="{00000000-0005-0000-0000-0000E1010000}"/>
    <cellStyle name="千分位 12 2 2 2 3 2 2" xfId="492" xr:uid="{00000000-0005-0000-0000-0000E2010000}"/>
    <cellStyle name="千分位 12 2 2 2 3 3" xfId="493" xr:uid="{00000000-0005-0000-0000-0000E3010000}"/>
    <cellStyle name="千分位 12 2 2 2 4" xfId="494" xr:uid="{00000000-0005-0000-0000-0000E4010000}"/>
    <cellStyle name="千分位 12 2 2 2 4 2" xfId="495" xr:uid="{00000000-0005-0000-0000-0000E5010000}"/>
    <cellStyle name="千分位 12 2 2 2 5" xfId="496" xr:uid="{00000000-0005-0000-0000-0000E6010000}"/>
    <cellStyle name="千分位 12 2 2 3" xfId="497" xr:uid="{00000000-0005-0000-0000-0000E7010000}"/>
    <cellStyle name="千分位 12 2 2 3 2" xfId="498" xr:uid="{00000000-0005-0000-0000-0000E8010000}"/>
    <cellStyle name="千分位 12 2 2 3 2 2" xfId="499" xr:uid="{00000000-0005-0000-0000-0000E9010000}"/>
    <cellStyle name="千分位 12 2 2 3 2 2 2" xfId="500" xr:uid="{00000000-0005-0000-0000-0000EA010000}"/>
    <cellStyle name="千分位 12 2 2 3 2 3" xfId="501" xr:uid="{00000000-0005-0000-0000-0000EB010000}"/>
    <cellStyle name="千分位 12 2 2 3 3" xfId="502" xr:uid="{00000000-0005-0000-0000-0000EC010000}"/>
    <cellStyle name="千分位 12 2 2 3 3 2" xfId="503" xr:uid="{00000000-0005-0000-0000-0000ED010000}"/>
    <cellStyle name="千分位 12 2 2 3 4" xfId="504" xr:uid="{00000000-0005-0000-0000-0000EE010000}"/>
    <cellStyle name="千分位 12 2 2 4" xfId="505" xr:uid="{00000000-0005-0000-0000-0000EF010000}"/>
    <cellStyle name="千分位 12 2 2 4 2" xfId="506" xr:uid="{00000000-0005-0000-0000-0000F0010000}"/>
    <cellStyle name="千分位 12 2 2 4 2 2" xfId="507" xr:uid="{00000000-0005-0000-0000-0000F1010000}"/>
    <cellStyle name="千分位 12 2 2 4 3" xfId="508" xr:uid="{00000000-0005-0000-0000-0000F2010000}"/>
    <cellStyle name="千分位 12 2 2 5" xfId="509" xr:uid="{00000000-0005-0000-0000-0000F3010000}"/>
    <cellStyle name="千分位 12 2 2 5 2" xfId="510" xr:uid="{00000000-0005-0000-0000-0000F4010000}"/>
    <cellStyle name="千分位 12 2 2 6" xfId="511" xr:uid="{00000000-0005-0000-0000-0000F5010000}"/>
    <cellStyle name="千分位 12 2 3" xfId="512" xr:uid="{00000000-0005-0000-0000-0000F6010000}"/>
    <cellStyle name="千分位 12 2 3 2" xfId="513" xr:uid="{00000000-0005-0000-0000-0000F7010000}"/>
    <cellStyle name="千分位 12 2 3 2 2" xfId="514" xr:uid="{00000000-0005-0000-0000-0000F8010000}"/>
    <cellStyle name="千分位 12 2 3 2 2 2" xfId="515" xr:uid="{00000000-0005-0000-0000-0000F9010000}"/>
    <cellStyle name="千分位 12 2 3 2 2 2 2" xfId="516" xr:uid="{00000000-0005-0000-0000-0000FA010000}"/>
    <cellStyle name="千分位 12 2 3 2 2 3" xfId="517" xr:uid="{00000000-0005-0000-0000-0000FB010000}"/>
    <cellStyle name="千分位 12 2 3 2 3" xfId="518" xr:uid="{00000000-0005-0000-0000-0000FC010000}"/>
    <cellStyle name="千分位 12 2 3 2 3 2" xfId="519" xr:uid="{00000000-0005-0000-0000-0000FD010000}"/>
    <cellStyle name="千分位 12 2 3 2 4" xfId="520" xr:uid="{00000000-0005-0000-0000-0000FE010000}"/>
    <cellStyle name="千分位 12 2 3 3" xfId="521" xr:uid="{00000000-0005-0000-0000-0000FF010000}"/>
    <cellStyle name="千分位 12 2 3 3 2" xfId="522" xr:uid="{00000000-0005-0000-0000-000000020000}"/>
    <cellStyle name="千分位 12 2 3 3 2 2" xfId="523" xr:uid="{00000000-0005-0000-0000-000001020000}"/>
    <cellStyle name="千分位 12 2 3 3 3" xfId="524" xr:uid="{00000000-0005-0000-0000-000002020000}"/>
    <cellStyle name="千分位 12 2 3 4" xfId="525" xr:uid="{00000000-0005-0000-0000-000003020000}"/>
    <cellStyle name="千分位 12 2 3 4 2" xfId="526" xr:uid="{00000000-0005-0000-0000-000004020000}"/>
    <cellStyle name="千分位 12 2 3 5" xfId="527" xr:uid="{00000000-0005-0000-0000-000005020000}"/>
    <cellStyle name="千分位 12 2 4" xfId="528" xr:uid="{00000000-0005-0000-0000-000006020000}"/>
    <cellStyle name="千分位 12 2 4 2" xfId="529" xr:uid="{00000000-0005-0000-0000-000007020000}"/>
    <cellStyle name="千分位 12 2 4 2 2" xfId="530" xr:uid="{00000000-0005-0000-0000-000008020000}"/>
    <cellStyle name="千分位 12 2 4 2 2 2" xfId="531" xr:uid="{00000000-0005-0000-0000-000009020000}"/>
    <cellStyle name="千分位 12 2 4 2 3" xfId="532" xr:uid="{00000000-0005-0000-0000-00000A020000}"/>
    <cellStyle name="千分位 12 2 4 3" xfId="533" xr:uid="{00000000-0005-0000-0000-00000B020000}"/>
    <cellStyle name="千分位 12 2 4 3 2" xfId="534" xr:uid="{00000000-0005-0000-0000-00000C020000}"/>
    <cellStyle name="千分位 12 2 4 4" xfId="535" xr:uid="{00000000-0005-0000-0000-00000D020000}"/>
    <cellStyle name="千分位 12 2 5" xfId="536" xr:uid="{00000000-0005-0000-0000-00000E020000}"/>
    <cellStyle name="千分位 12 2 5 2" xfId="537" xr:uid="{00000000-0005-0000-0000-00000F020000}"/>
    <cellStyle name="千分位 12 2 5 2 2" xfId="538" xr:uid="{00000000-0005-0000-0000-000010020000}"/>
    <cellStyle name="千分位 12 2 5 3" xfId="539" xr:uid="{00000000-0005-0000-0000-000011020000}"/>
    <cellStyle name="千分位 12 2 6" xfId="540" xr:uid="{00000000-0005-0000-0000-000012020000}"/>
    <cellStyle name="千分位 12 2 6 2" xfId="541" xr:uid="{00000000-0005-0000-0000-000013020000}"/>
    <cellStyle name="千分位 12 2 7" xfId="542" xr:uid="{00000000-0005-0000-0000-000014020000}"/>
    <cellStyle name="千分位 12 3" xfId="543" xr:uid="{00000000-0005-0000-0000-000015020000}"/>
    <cellStyle name="千分位 12 3 2" xfId="544" xr:uid="{00000000-0005-0000-0000-000016020000}"/>
    <cellStyle name="千分位 12 3 2 2" xfId="545" xr:uid="{00000000-0005-0000-0000-000017020000}"/>
    <cellStyle name="千分位 12 3 2 2 2" xfId="546" xr:uid="{00000000-0005-0000-0000-000018020000}"/>
    <cellStyle name="千分位 12 3 2 2 2 2" xfId="547" xr:uid="{00000000-0005-0000-0000-000019020000}"/>
    <cellStyle name="千分位 12 3 2 2 2 2 2" xfId="548" xr:uid="{00000000-0005-0000-0000-00001A020000}"/>
    <cellStyle name="千分位 12 3 2 2 2 3" xfId="549" xr:uid="{00000000-0005-0000-0000-00001B020000}"/>
    <cellStyle name="千分位 12 3 2 2 3" xfId="550" xr:uid="{00000000-0005-0000-0000-00001C020000}"/>
    <cellStyle name="千分位 12 3 2 2 3 2" xfId="551" xr:uid="{00000000-0005-0000-0000-00001D020000}"/>
    <cellStyle name="千分位 12 3 2 2 4" xfId="552" xr:uid="{00000000-0005-0000-0000-00001E020000}"/>
    <cellStyle name="千分位 12 3 2 3" xfId="553" xr:uid="{00000000-0005-0000-0000-00001F020000}"/>
    <cellStyle name="千分位 12 3 2 3 2" xfId="554" xr:uid="{00000000-0005-0000-0000-000020020000}"/>
    <cellStyle name="千分位 12 3 2 3 2 2" xfId="555" xr:uid="{00000000-0005-0000-0000-000021020000}"/>
    <cellStyle name="千分位 12 3 2 3 3" xfId="556" xr:uid="{00000000-0005-0000-0000-000022020000}"/>
    <cellStyle name="千分位 12 3 2 4" xfId="557" xr:uid="{00000000-0005-0000-0000-000023020000}"/>
    <cellStyle name="千分位 12 3 2 4 2" xfId="558" xr:uid="{00000000-0005-0000-0000-000024020000}"/>
    <cellStyle name="千分位 12 3 2 5" xfId="559" xr:uid="{00000000-0005-0000-0000-000025020000}"/>
    <cellStyle name="千分位 12 3 3" xfId="560" xr:uid="{00000000-0005-0000-0000-000026020000}"/>
    <cellStyle name="千分位 12 3 3 2" xfId="561" xr:uid="{00000000-0005-0000-0000-000027020000}"/>
    <cellStyle name="千分位 12 3 3 2 2" xfId="562" xr:uid="{00000000-0005-0000-0000-000028020000}"/>
    <cellStyle name="千分位 12 3 3 2 2 2" xfId="563" xr:uid="{00000000-0005-0000-0000-000029020000}"/>
    <cellStyle name="千分位 12 3 3 2 3" xfId="564" xr:uid="{00000000-0005-0000-0000-00002A020000}"/>
    <cellStyle name="千分位 12 3 3 3" xfId="565" xr:uid="{00000000-0005-0000-0000-00002B020000}"/>
    <cellStyle name="千分位 12 3 3 3 2" xfId="566" xr:uid="{00000000-0005-0000-0000-00002C020000}"/>
    <cellStyle name="千分位 12 3 3 4" xfId="567" xr:uid="{00000000-0005-0000-0000-00002D020000}"/>
    <cellStyle name="千分位 12 3 4" xfId="568" xr:uid="{00000000-0005-0000-0000-00002E020000}"/>
    <cellStyle name="千分位 12 3 4 2" xfId="569" xr:uid="{00000000-0005-0000-0000-00002F020000}"/>
    <cellStyle name="千分位 12 3 4 2 2" xfId="570" xr:uid="{00000000-0005-0000-0000-000030020000}"/>
    <cellStyle name="千分位 12 3 4 3" xfId="571" xr:uid="{00000000-0005-0000-0000-000031020000}"/>
    <cellStyle name="千分位 12 3 5" xfId="572" xr:uid="{00000000-0005-0000-0000-000032020000}"/>
    <cellStyle name="千分位 12 3 5 2" xfId="573" xr:uid="{00000000-0005-0000-0000-000033020000}"/>
    <cellStyle name="千分位 12 3 6" xfId="574" xr:uid="{00000000-0005-0000-0000-000034020000}"/>
    <cellStyle name="千分位 12 4" xfId="575" xr:uid="{00000000-0005-0000-0000-000035020000}"/>
    <cellStyle name="千分位 12 4 2" xfId="576" xr:uid="{00000000-0005-0000-0000-000036020000}"/>
    <cellStyle name="千分位 12 4 2 2" xfId="577" xr:uid="{00000000-0005-0000-0000-000037020000}"/>
    <cellStyle name="千分位 12 4 2 2 2" xfId="578" xr:uid="{00000000-0005-0000-0000-000038020000}"/>
    <cellStyle name="千分位 12 4 2 2 2 2" xfId="579" xr:uid="{00000000-0005-0000-0000-000039020000}"/>
    <cellStyle name="千分位 12 4 2 2 3" xfId="580" xr:uid="{00000000-0005-0000-0000-00003A020000}"/>
    <cellStyle name="千分位 12 4 2 3" xfId="581" xr:uid="{00000000-0005-0000-0000-00003B020000}"/>
    <cellStyle name="千分位 12 4 2 3 2" xfId="582" xr:uid="{00000000-0005-0000-0000-00003C020000}"/>
    <cellStyle name="千分位 12 4 2 4" xfId="583" xr:uid="{00000000-0005-0000-0000-00003D020000}"/>
    <cellStyle name="千分位 12 4 3" xfId="584" xr:uid="{00000000-0005-0000-0000-00003E020000}"/>
    <cellStyle name="千分位 12 4 3 2" xfId="585" xr:uid="{00000000-0005-0000-0000-00003F020000}"/>
    <cellStyle name="千分位 12 4 3 2 2" xfId="586" xr:uid="{00000000-0005-0000-0000-000040020000}"/>
    <cellStyle name="千分位 12 4 3 3" xfId="587" xr:uid="{00000000-0005-0000-0000-000041020000}"/>
    <cellStyle name="千分位 12 4 4" xfId="588" xr:uid="{00000000-0005-0000-0000-000042020000}"/>
    <cellStyle name="千分位 12 4 4 2" xfId="589" xr:uid="{00000000-0005-0000-0000-000043020000}"/>
    <cellStyle name="千分位 12 4 5" xfId="590" xr:uid="{00000000-0005-0000-0000-000044020000}"/>
    <cellStyle name="千分位 12 5" xfId="591" xr:uid="{00000000-0005-0000-0000-000045020000}"/>
    <cellStyle name="千分位 12 5 2" xfId="592" xr:uid="{00000000-0005-0000-0000-000046020000}"/>
    <cellStyle name="千分位 12 5 2 2" xfId="593" xr:uid="{00000000-0005-0000-0000-000047020000}"/>
    <cellStyle name="千分位 12 5 2 2 2" xfId="594" xr:uid="{00000000-0005-0000-0000-000048020000}"/>
    <cellStyle name="千分位 12 5 2 3" xfId="595" xr:uid="{00000000-0005-0000-0000-000049020000}"/>
    <cellStyle name="千分位 12 5 3" xfId="596" xr:uid="{00000000-0005-0000-0000-00004A020000}"/>
    <cellStyle name="千分位 12 5 3 2" xfId="597" xr:uid="{00000000-0005-0000-0000-00004B020000}"/>
    <cellStyle name="千分位 12 5 4" xfId="598" xr:uid="{00000000-0005-0000-0000-00004C020000}"/>
    <cellStyle name="千分位 12 6" xfId="599" xr:uid="{00000000-0005-0000-0000-00004D020000}"/>
    <cellStyle name="千分位 12 6 2" xfId="600" xr:uid="{00000000-0005-0000-0000-00004E020000}"/>
    <cellStyle name="千分位 12 6 2 2" xfId="601" xr:uid="{00000000-0005-0000-0000-00004F020000}"/>
    <cellStyle name="千分位 12 6 3" xfId="602" xr:uid="{00000000-0005-0000-0000-000050020000}"/>
    <cellStyle name="千分位 12 7" xfId="603" xr:uid="{00000000-0005-0000-0000-000051020000}"/>
    <cellStyle name="千分位 12 7 2" xfId="604" xr:uid="{00000000-0005-0000-0000-000052020000}"/>
    <cellStyle name="千分位 12 8" xfId="605" xr:uid="{00000000-0005-0000-0000-000053020000}"/>
    <cellStyle name="千分位 13" xfId="606" xr:uid="{00000000-0005-0000-0000-000054020000}"/>
    <cellStyle name="千分位 13 2" xfId="607" xr:uid="{00000000-0005-0000-0000-000055020000}"/>
    <cellStyle name="千分位 13 2 2" xfId="608" xr:uid="{00000000-0005-0000-0000-000056020000}"/>
    <cellStyle name="千分位 13 2 2 2" xfId="609" xr:uid="{00000000-0005-0000-0000-000057020000}"/>
    <cellStyle name="千分位 13 2 2 2 2" xfId="610" xr:uid="{00000000-0005-0000-0000-000058020000}"/>
    <cellStyle name="千分位 13 2 2 2 2 2" xfId="611" xr:uid="{00000000-0005-0000-0000-000059020000}"/>
    <cellStyle name="千分位 13 2 2 2 2 2 2" xfId="612" xr:uid="{00000000-0005-0000-0000-00005A020000}"/>
    <cellStyle name="千分位 13 2 2 2 2 2 2 2" xfId="613" xr:uid="{00000000-0005-0000-0000-00005B020000}"/>
    <cellStyle name="千分位 13 2 2 2 2 2 3" xfId="614" xr:uid="{00000000-0005-0000-0000-00005C020000}"/>
    <cellStyle name="千分位 13 2 2 2 2 3" xfId="615" xr:uid="{00000000-0005-0000-0000-00005D020000}"/>
    <cellStyle name="千分位 13 2 2 2 2 3 2" xfId="616" xr:uid="{00000000-0005-0000-0000-00005E020000}"/>
    <cellStyle name="千分位 13 2 2 2 2 4" xfId="617" xr:uid="{00000000-0005-0000-0000-00005F020000}"/>
    <cellStyle name="千分位 13 2 2 2 3" xfId="618" xr:uid="{00000000-0005-0000-0000-000060020000}"/>
    <cellStyle name="千分位 13 2 2 2 3 2" xfId="619" xr:uid="{00000000-0005-0000-0000-000061020000}"/>
    <cellStyle name="千分位 13 2 2 2 3 2 2" xfId="620" xr:uid="{00000000-0005-0000-0000-000062020000}"/>
    <cellStyle name="千分位 13 2 2 2 3 3" xfId="621" xr:uid="{00000000-0005-0000-0000-000063020000}"/>
    <cellStyle name="千分位 13 2 2 2 4" xfId="622" xr:uid="{00000000-0005-0000-0000-000064020000}"/>
    <cellStyle name="千分位 13 2 2 2 4 2" xfId="623" xr:uid="{00000000-0005-0000-0000-000065020000}"/>
    <cellStyle name="千分位 13 2 2 2 5" xfId="624" xr:uid="{00000000-0005-0000-0000-000066020000}"/>
    <cellStyle name="千分位 13 2 2 3" xfId="625" xr:uid="{00000000-0005-0000-0000-000067020000}"/>
    <cellStyle name="千分位 13 2 2 3 2" xfId="626" xr:uid="{00000000-0005-0000-0000-000068020000}"/>
    <cellStyle name="千分位 13 2 2 3 2 2" xfId="627" xr:uid="{00000000-0005-0000-0000-000069020000}"/>
    <cellStyle name="千分位 13 2 2 3 2 2 2" xfId="628" xr:uid="{00000000-0005-0000-0000-00006A020000}"/>
    <cellStyle name="千分位 13 2 2 3 2 3" xfId="629" xr:uid="{00000000-0005-0000-0000-00006B020000}"/>
    <cellStyle name="千分位 13 2 2 3 3" xfId="630" xr:uid="{00000000-0005-0000-0000-00006C020000}"/>
    <cellStyle name="千分位 13 2 2 3 3 2" xfId="631" xr:uid="{00000000-0005-0000-0000-00006D020000}"/>
    <cellStyle name="千分位 13 2 2 3 4" xfId="632" xr:uid="{00000000-0005-0000-0000-00006E020000}"/>
    <cellStyle name="千分位 13 2 2 4" xfId="633" xr:uid="{00000000-0005-0000-0000-00006F020000}"/>
    <cellStyle name="千分位 13 2 2 4 2" xfId="634" xr:uid="{00000000-0005-0000-0000-000070020000}"/>
    <cellStyle name="千分位 13 2 2 4 2 2" xfId="635" xr:uid="{00000000-0005-0000-0000-000071020000}"/>
    <cellStyle name="千分位 13 2 2 4 3" xfId="636" xr:uid="{00000000-0005-0000-0000-000072020000}"/>
    <cellStyle name="千分位 13 2 2 5" xfId="637" xr:uid="{00000000-0005-0000-0000-000073020000}"/>
    <cellStyle name="千分位 13 2 2 5 2" xfId="638" xr:uid="{00000000-0005-0000-0000-000074020000}"/>
    <cellStyle name="千分位 13 2 2 6" xfId="639" xr:uid="{00000000-0005-0000-0000-000075020000}"/>
    <cellStyle name="千分位 13 2 3" xfId="640" xr:uid="{00000000-0005-0000-0000-000076020000}"/>
    <cellStyle name="千分位 13 2 3 2" xfId="641" xr:uid="{00000000-0005-0000-0000-000077020000}"/>
    <cellStyle name="千分位 13 2 3 2 2" xfId="642" xr:uid="{00000000-0005-0000-0000-000078020000}"/>
    <cellStyle name="千分位 13 2 3 2 2 2" xfId="643" xr:uid="{00000000-0005-0000-0000-000079020000}"/>
    <cellStyle name="千分位 13 2 3 2 2 2 2" xfId="644" xr:uid="{00000000-0005-0000-0000-00007A020000}"/>
    <cellStyle name="千分位 13 2 3 2 2 3" xfId="645" xr:uid="{00000000-0005-0000-0000-00007B020000}"/>
    <cellStyle name="千分位 13 2 3 2 3" xfId="646" xr:uid="{00000000-0005-0000-0000-00007C020000}"/>
    <cellStyle name="千分位 13 2 3 2 3 2" xfId="647" xr:uid="{00000000-0005-0000-0000-00007D020000}"/>
    <cellStyle name="千分位 13 2 3 2 4" xfId="648" xr:uid="{00000000-0005-0000-0000-00007E020000}"/>
    <cellStyle name="千分位 13 2 3 3" xfId="649" xr:uid="{00000000-0005-0000-0000-00007F020000}"/>
    <cellStyle name="千分位 13 2 3 3 2" xfId="650" xr:uid="{00000000-0005-0000-0000-000080020000}"/>
    <cellStyle name="千分位 13 2 3 3 2 2" xfId="651" xr:uid="{00000000-0005-0000-0000-000081020000}"/>
    <cellStyle name="千分位 13 2 3 3 3" xfId="652" xr:uid="{00000000-0005-0000-0000-000082020000}"/>
    <cellStyle name="千分位 13 2 3 4" xfId="653" xr:uid="{00000000-0005-0000-0000-000083020000}"/>
    <cellStyle name="千分位 13 2 3 4 2" xfId="654" xr:uid="{00000000-0005-0000-0000-000084020000}"/>
    <cellStyle name="千分位 13 2 3 5" xfId="655" xr:uid="{00000000-0005-0000-0000-000085020000}"/>
    <cellStyle name="千分位 13 2 4" xfId="656" xr:uid="{00000000-0005-0000-0000-000086020000}"/>
    <cellStyle name="千分位 13 2 4 2" xfId="657" xr:uid="{00000000-0005-0000-0000-000087020000}"/>
    <cellStyle name="千分位 13 2 4 2 2" xfId="658" xr:uid="{00000000-0005-0000-0000-000088020000}"/>
    <cellStyle name="千分位 13 2 4 2 2 2" xfId="659" xr:uid="{00000000-0005-0000-0000-000089020000}"/>
    <cellStyle name="千分位 13 2 4 2 3" xfId="660" xr:uid="{00000000-0005-0000-0000-00008A020000}"/>
    <cellStyle name="千分位 13 2 4 3" xfId="661" xr:uid="{00000000-0005-0000-0000-00008B020000}"/>
    <cellStyle name="千分位 13 2 4 3 2" xfId="662" xr:uid="{00000000-0005-0000-0000-00008C020000}"/>
    <cellStyle name="千分位 13 2 4 4" xfId="663" xr:uid="{00000000-0005-0000-0000-00008D020000}"/>
    <cellStyle name="千分位 13 2 5" xfId="664" xr:uid="{00000000-0005-0000-0000-00008E020000}"/>
    <cellStyle name="千分位 13 2 5 2" xfId="665" xr:uid="{00000000-0005-0000-0000-00008F020000}"/>
    <cellStyle name="千分位 13 2 5 2 2" xfId="666" xr:uid="{00000000-0005-0000-0000-000090020000}"/>
    <cellStyle name="千分位 13 2 5 3" xfId="667" xr:uid="{00000000-0005-0000-0000-000091020000}"/>
    <cellStyle name="千分位 13 2 6" xfId="668" xr:uid="{00000000-0005-0000-0000-000092020000}"/>
    <cellStyle name="千分位 13 2 6 2" xfId="669" xr:uid="{00000000-0005-0000-0000-000093020000}"/>
    <cellStyle name="千分位 13 2 7" xfId="670" xr:uid="{00000000-0005-0000-0000-000094020000}"/>
    <cellStyle name="千分位 13 3" xfId="671" xr:uid="{00000000-0005-0000-0000-000095020000}"/>
    <cellStyle name="千分位 13 3 2" xfId="672" xr:uid="{00000000-0005-0000-0000-000096020000}"/>
    <cellStyle name="千分位 13 3 2 2" xfId="673" xr:uid="{00000000-0005-0000-0000-000097020000}"/>
    <cellStyle name="千分位 13 3 2 2 2" xfId="674" xr:uid="{00000000-0005-0000-0000-000098020000}"/>
    <cellStyle name="千分位 13 3 2 2 2 2" xfId="675" xr:uid="{00000000-0005-0000-0000-000099020000}"/>
    <cellStyle name="千分位 13 3 2 2 2 2 2" xfId="676" xr:uid="{00000000-0005-0000-0000-00009A020000}"/>
    <cellStyle name="千分位 13 3 2 2 2 3" xfId="677" xr:uid="{00000000-0005-0000-0000-00009B020000}"/>
    <cellStyle name="千分位 13 3 2 2 3" xfId="678" xr:uid="{00000000-0005-0000-0000-00009C020000}"/>
    <cellStyle name="千分位 13 3 2 2 3 2" xfId="679" xr:uid="{00000000-0005-0000-0000-00009D020000}"/>
    <cellStyle name="千分位 13 3 2 2 4" xfId="680" xr:uid="{00000000-0005-0000-0000-00009E020000}"/>
    <cellStyle name="千分位 13 3 2 3" xfId="681" xr:uid="{00000000-0005-0000-0000-00009F020000}"/>
    <cellStyle name="千分位 13 3 2 3 2" xfId="682" xr:uid="{00000000-0005-0000-0000-0000A0020000}"/>
    <cellStyle name="千分位 13 3 2 3 2 2" xfId="683" xr:uid="{00000000-0005-0000-0000-0000A1020000}"/>
    <cellStyle name="千分位 13 3 2 3 3" xfId="684" xr:uid="{00000000-0005-0000-0000-0000A2020000}"/>
    <cellStyle name="千分位 13 3 2 4" xfId="685" xr:uid="{00000000-0005-0000-0000-0000A3020000}"/>
    <cellStyle name="千分位 13 3 2 4 2" xfId="686" xr:uid="{00000000-0005-0000-0000-0000A4020000}"/>
    <cellStyle name="千分位 13 3 2 5" xfId="687" xr:uid="{00000000-0005-0000-0000-0000A5020000}"/>
    <cellStyle name="千分位 13 3 3" xfId="688" xr:uid="{00000000-0005-0000-0000-0000A6020000}"/>
    <cellStyle name="千分位 13 3 3 2" xfId="689" xr:uid="{00000000-0005-0000-0000-0000A7020000}"/>
    <cellStyle name="千分位 13 3 3 2 2" xfId="690" xr:uid="{00000000-0005-0000-0000-0000A8020000}"/>
    <cellStyle name="千分位 13 3 3 2 2 2" xfId="691" xr:uid="{00000000-0005-0000-0000-0000A9020000}"/>
    <cellStyle name="千分位 13 3 3 2 3" xfId="692" xr:uid="{00000000-0005-0000-0000-0000AA020000}"/>
    <cellStyle name="千分位 13 3 3 3" xfId="693" xr:uid="{00000000-0005-0000-0000-0000AB020000}"/>
    <cellStyle name="千分位 13 3 3 3 2" xfId="694" xr:uid="{00000000-0005-0000-0000-0000AC020000}"/>
    <cellStyle name="千分位 13 3 3 4" xfId="695" xr:uid="{00000000-0005-0000-0000-0000AD020000}"/>
    <cellStyle name="千分位 13 3 4" xfId="696" xr:uid="{00000000-0005-0000-0000-0000AE020000}"/>
    <cellStyle name="千分位 13 3 4 2" xfId="697" xr:uid="{00000000-0005-0000-0000-0000AF020000}"/>
    <cellStyle name="千分位 13 3 4 2 2" xfId="698" xr:uid="{00000000-0005-0000-0000-0000B0020000}"/>
    <cellStyle name="千分位 13 3 4 3" xfId="699" xr:uid="{00000000-0005-0000-0000-0000B1020000}"/>
    <cellStyle name="千分位 13 3 5" xfId="700" xr:uid="{00000000-0005-0000-0000-0000B2020000}"/>
    <cellStyle name="千分位 13 3 5 2" xfId="701" xr:uid="{00000000-0005-0000-0000-0000B3020000}"/>
    <cellStyle name="千分位 13 3 6" xfId="702" xr:uid="{00000000-0005-0000-0000-0000B4020000}"/>
    <cellStyle name="千分位 13 4" xfId="703" xr:uid="{00000000-0005-0000-0000-0000B5020000}"/>
    <cellStyle name="千分位 13 4 2" xfId="704" xr:uid="{00000000-0005-0000-0000-0000B6020000}"/>
    <cellStyle name="千分位 13 4 2 2" xfId="705" xr:uid="{00000000-0005-0000-0000-0000B7020000}"/>
    <cellStyle name="千分位 13 4 2 2 2" xfId="706" xr:uid="{00000000-0005-0000-0000-0000B8020000}"/>
    <cellStyle name="千分位 13 4 2 2 2 2" xfId="707" xr:uid="{00000000-0005-0000-0000-0000B9020000}"/>
    <cellStyle name="千分位 13 4 2 2 3" xfId="708" xr:uid="{00000000-0005-0000-0000-0000BA020000}"/>
    <cellStyle name="千分位 13 4 2 3" xfId="709" xr:uid="{00000000-0005-0000-0000-0000BB020000}"/>
    <cellStyle name="千分位 13 4 2 3 2" xfId="710" xr:uid="{00000000-0005-0000-0000-0000BC020000}"/>
    <cellStyle name="千分位 13 4 2 4" xfId="711" xr:uid="{00000000-0005-0000-0000-0000BD020000}"/>
    <cellStyle name="千分位 13 4 3" xfId="712" xr:uid="{00000000-0005-0000-0000-0000BE020000}"/>
    <cellStyle name="千分位 13 4 3 2" xfId="713" xr:uid="{00000000-0005-0000-0000-0000BF020000}"/>
    <cellStyle name="千分位 13 4 3 2 2" xfId="714" xr:uid="{00000000-0005-0000-0000-0000C0020000}"/>
    <cellStyle name="千分位 13 4 3 3" xfId="715" xr:uid="{00000000-0005-0000-0000-0000C1020000}"/>
    <cellStyle name="千分位 13 4 4" xfId="716" xr:uid="{00000000-0005-0000-0000-0000C2020000}"/>
    <cellStyle name="千分位 13 4 4 2" xfId="717" xr:uid="{00000000-0005-0000-0000-0000C3020000}"/>
    <cellStyle name="千分位 13 4 5" xfId="718" xr:uid="{00000000-0005-0000-0000-0000C4020000}"/>
    <cellStyle name="千分位 13 5" xfId="719" xr:uid="{00000000-0005-0000-0000-0000C5020000}"/>
    <cellStyle name="千分位 13 5 2" xfId="720" xr:uid="{00000000-0005-0000-0000-0000C6020000}"/>
    <cellStyle name="千分位 13 5 2 2" xfId="721" xr:uid="{00000000-0005-0000-0000-0000C7020000}"/>
    <cellStyle name="千分位 13 5 2 2 2" xfId="722" xr:uid="{00000000-0005-0000-0000-0000C8020000}"/>
    <cellStyle name="千分位 13 5 2 3" xfId="723" xr:uid="{00000000-0005-0000-0000-0000C9020000}"/>
    <cellStyle name="千分位 13 5 3" xfId="724" xr:uid="{00000000-0005-0000-0000-0000CA020000}"/>
    <cellStyle name="千分位 13 5 3 2" xfId="725" xr:uid="{00000000-0005-0000-0000-0000CB020000}"/>
    <cellStyle name="千分位 13 5 4" xfId="726" xr:uid="{00000000-0005-0000-0000-0000CC020000}"/>
    <cellStyle name="千分位 13 6" xfId="727" xr:uid="{00000000-0005-0000-0000-0000CD020000}"/>
    <cellStyle name="千分位 13 6 2" xfId="728" xr:uid="{00000000-0005-0000-0000-0000CE020000}"/>
    <cellStyle name="千分位 13 6 2 2" xfId="729" xr:uid="{00000000-0005-0000-0000-0000CF020000}"/>
    <cellStyle name="千分位 13 6 3" xfId="730" xr:uid="{00000000-0005-0000-0000-0000D0020000}"/>
    <cellStyle name="千分位 13 7" xfId="731" xr:uid="{00000000-0005-0000-0000-0000D1020000}"/>
    <cellStyle name="千分位 13 7 2" xfId="732" xr:uid="{00000000-0005-0000-0000-0000D2020000}"/>
    <cellStyle name="千分位 13 8" xfId="733" xr:uid="{00000000-0005-0000-0000-0000D3020000}"/>
    <cellStyle name="千分位 14" xfId="734" xr:uid="{00000000-0005-0000-0000-0000D4020000}"/>
    <cellStyle name="千分位 14 2" xfId="735" xr:uid="{00000000-0005-0000-0000-0000D5020000}"/>
    <cellStyle name="千分位 14 2 2" xfId="736" xr:uid="{00000000-0005-0000-0000-0000D6020000}"/>
    <cellStyle name="千分位 14 2 2 2" xfId="737" xr:uid="{00000000-0005-0000-0000-0000D7020000}"/>
    <cellStyle name="千分位 14 2 2 2 2" xfId="738" xr:uid="{00000000-0005-0000-0000-0000D8020000}"/>
    <cellStyle name="千分位 14 2 2 2 2 2" xfId="739" xr:uid="{00000000-0005-0000-0000-0000D9020000}"/>
    <cellStyle name="千分位 14 2 2 2 2 2 2" xfId="740" xr:uid="{00000000-0005-0000-0000-0000DA020000}"/>
    <cellStyle name="千分位 14 2 2 2 2 2 2 2" xfId="741" xr:uid="{00000000-0005-0000-0000-0000DB020000}"/>
    <cellStyle name="千分位 14 2 2 2 2 2 3" xfId="742" xr:uid="{00000000-0005-0000-0000-0000DC020000}"/>
    <cellStyle name="千分位 14 2 2 2 2 3" xfId="743" xr:uid="{00000000-0005-0000-0000-0000DD020000}"/>
    <cellStyle name="千分位 14 2 2 2 2 3 2" xfId="744" xr:uid="{00000000-0005-0000-0000-0000DE020000}"/>
    <cellStyle name="千分位 14 2 2 2 2 4" xfId="745" xr:uid="{00000000-0005-0000-0000-0000DF020000}"/>
    <cellStyle name="千分位 14 2 2 2 3" xfId="746" xr:uid="{00000000-0005-0000-0000-0000E0020000}"/>
    <cellStyle name="千分位 14 2 2 2 3 2" xfId="747" xr:uid="{00000000-0005-0000-0000-0000E1020000}"/>
    <cellStyle name="千分位 14 2 2 2 3 2 2" xfId="748" xr:uid="{00000000-0005-0000-0000-0000E2020000}"/>
    <cellStyle name="千分位 14 2 2 2 3 3" xfId="749" xr:uid="{00000000-0005-0000-0000-0000E3020000}"/>
    <cellStyle name="千分位 14 2 2 2 4" xfId="750" xr:uid="{00000000-0005-0000-0000-0000E4020000}"/>
    <cellStyle name="千分位 14 2 2 2 4 2" xfId="751" xr:uid="{00000000-0005-0000-0000-0000E5020000}"/>
    <cellStyle name="千分位 14 2 2 2 5" xfId="752" xr:uid="{00000000-0005-0000-0000-0000E6020000}"/>
    <cellStyle name="千分位 14 2 2 3" xfId="753" xr:uid="{00000000-0005-0000-0000-0000E7020000}"/>
    <cellStyle name="千分位 14 2 2 3 2" xfId="754" xr:uid="{00000000-0005-0000-0000-0000E8020000}"/>
    <cellStyle name="千分位 14 2 2 3 2 2" xfId="755" xr:uid="{00000000-0005-0000-0000-0000E9020000}"/>
    <cellStyle name="千分位 14 2 2 3 2 2 2" xfId="756" xr:uid="{00000000-0005-0000-0000-0000EA020000}"/>
    <cellStyle name="千分位 14 2 2 3 2 3" xfId="757" xr:uid="{00000000-0005-0000-0000-0000EB020000}"/>
    <cellStyle name="千分位 14 2 2 3 3" xfId="758" xr:uid="{00000000-0005-0000-0000-0000EC020000}"/>
    <cellStyle name="千分位 14 2 2 3 3 2" xfId="759" xr:uid="{00000000-0005-0000-0000-0000ED020000}"/>
    <cellStyle name="千分位 14 2 2 3 4" xfId="760" xr:uid="{00000000-0005-0000-0000-0000EE020000}"/>
    <cellStyle name="千分位 14 2 2 4" xfId="761" xr:uid="{00000000-0005-0000-0000-0000EF020000}"/>
    <cellStyle name="千分位 14 2 2 4 2" xfId="762" xr:uid="{00000000-0005-0000-0000-0000F0020000}"/>
    <cellStyle name="千分位 14 2 2 4 2 2" xfId="763" xr:uid="{00000000-0005-0000-0000-0000F1020000}"/>
    <cellStyle name="千分位 14 2 2 4 3" xfId="764" xr:uid="{00000000-0005-0000-0000-0000F2020000}"/>
    <cellStyle name="千分位 14 2 2 5" xfId="765" xr:uid="{00000000-0005-0000-0000-0000F3020000}"/>
    <cellStyle name="千分位 14 2 2 5 2" xfId="766" xr:uid="{00000000-0005-0000-0000-0000F4020000}"/>
    <cellStyle name="千分位 14 2 2 6" xfId="767" xr:uid="{00000000-0005-0000-0000-0000F5020000}"/>
    <cellStyle name="千分位 14 2 3" xfId="768" xr:uid="{00000000-0005-0000-0000-0000F6020000}"/>
    <cellStyle name="千分位 14 2 3 2" xfId="769" xr:uid="{00000000-0005-0000-0000-0000F7020000}"/>
    <cellStyle name="千分位 14 2 3 2 2" xfId="770" xr:uid="{00000000-0005-0000-0000-0000F8020000}"/>
    <cellStyle name="千分位 14 2 3 2 2 2" xfId="771" xr:uid="{00000000-0005-0000-0000-0000F9020000}"/>
    <cellStyle name="千分位 14 2 3 2 2 2 2" xfId="772" xr:uid="{00000000-0005-0000-0000-0000FA020000}"/>
    <cellStyle name="千分位 14 2 3 2 2 3" xfId="773" xr:uid="{00000000-0005-0000-0000-0000FB020000}"/>
    <cellStyle name="千分位 14 2 3 2 3" xfId="774" xr:uid="{00000000-0005-0000-0000-0000FC020000}"/>
    <cellStyle name="千分位 14 2 3 2 3 2" xfId="775" xr:uid="{00000000-0005-0000-0000-0000FD020000}"/>
    <cellStyle name="千分位 14 2 3 2 4" xfId="776" xr:uid="{00000000-0005-0000-0000-0000FE020000}"/>
    <cellStyle name="千分位 14 2 3 3" xfId="777" xr:uid="{00000000-0005-0000-0000-0000FF020000}"/>
    <cellStyle name="千分位 14 2 3 3 2" xfId="778" xr:uid="{00000000-0005-0000-0000-000000030000}"/>
    <cellStyle name="千分位 14 2 3 3 2 2" xfId="779" xr:uid="{00000000-0005-0000-0000-000001030000}"/>
    <cellStyle name="千分位 14 2 3 3 3" xfId="780" xr:uid="{00000000-0005-0000-0000-000002030000}"/>
    <cellStyle name="千分位 14 2 3 4" xfId="781" xr:uid="{00000000-0005-0000-0000-000003030000}"/>
    <cellStyle name="千分位 14 2 3 4 2" xfId="782" xr:uid="{00000000-0005-0000-0000-000004030000}"/>
    <cellStyle name="千分位 14 2 3 5" xfId="783" xr:uid="{00000000-0005-0000-0000-000005030000}"/>
    <cellStyle name="千分位 14 2 4" xfId="784" xr:uid="{00000000-0005-0000-0000-000006030000}"/>
    <cellStyle name="千分位 14 2 4 2" xfId="785" xr:uid="{00000000-0005-0000-0000-000007030000}"/>
    <cellStyle name="千分位 14 2 4 2 2" xfId="786" xr:uid="{00000000-0005-0000-0000-000008030000}"/>
    <cellStyle name="千分位 14 2 4 2 2 2" xfId="787" xr:uid="{00000000-0005-0000-0000-000009030000}"/>
    <cellStyle name="千分位 14 2 4 2 3" xfId="788" xr:uid="{00000000-0005-0000-0000-00000A030000}"/>
    <cellStyle name="千分位 14 2 4 3" xfId="789" xr:uid="{00000000-0005-0000-0000-00000B030000}"/>
    <cellStyle name="千分位 14 2 4 3 2" xfId="790" xr:uid="{00000000-0005-0000-0000-00000C030000}"/>
    <cellStyle name="千分位 14 2 4 4" xfId="791" xr:uid="{00000000-0005-0000-0000-00000D030000}"/>
    <cellStyle name="千分位 14 2 5" xfId="792" xr:uid="{00000000-0005-0000-0000-00000E030000}"/>
    <cellStyle name="千分位 14 2 5 2" xfId="793" xr:uid="{00000000-0005-0000-0000-00000F030000}"/>
    <cellStyle name="千分位 14 2 5 2 2" xfId="794" xr:uid="{00000000-0005-0000-0000-000010030000}"/>
    <cellStyle name="千分位 14 2 5 3" xfId="795" xr:uid="{00000000-0005-0000-0000-000011030000}"/>
    <cellStyle name="千分位 14 2 6" xfId="796" xr:uid="{00000000-0005-0000-0000-000012030000}"/>
    <cellStyle name="千分位 14 2 6 2" xfId="797" xr:uid="{00000000-0005-0000-0000-000013030000}"/>
    <cellStyle name="千分位 14 2 7" xfId="798" xr:uid="{00000000-0005-0000-0000-000014030000}"/>
    <cellStyle name="千分位 14 3" xfId="799" xr:uid="{00000000-0005-0000-0000-000015030000}"/>
    <cellStyle name="千分位 14 3 2" xfId="800" xr:uid="{00000000-0005-0000-0000-000016030000}"/>
    <cellStyle name="千分位 14 3 2 2" xfId="801" xr:uid="{00000000-0005-0000-0000-000017030000}"/>
    <cellStyle name="千分位 14 3 2 2 2" xfId="802" xr:uid="{00000000-0005-0000-0000-000018030000}"/>
    <cellStyle name="千分位 14 3 2 2 2 2" xfId="803" xr:uid="{00000000-0005-0000-0000-000019030000}"/>
    <cellStyle name="千分位 14 3 2 2 2 2 2" xfId="804" xr:uid="{00000000-0005-0000-0000-00001A030000}"/>
    <cellStyle name="千分位 14 3 2 2 2 3" xfId="805" xr:uid="{00000000-0005-0000-0000-00001B030000}"/>
    <cellStyle name="千分位 14 3 2 2 3" xfId="806" xr:uid="{00000000-0005-0000-0000-00001C030000}"/>
    <cellStyle name="千分位 14 3 2 2 3 2" xfId="807" xr:uid="{00000000-0005-0000-0000-00001D030000}"/>
    <cellStyle name="千分位 14 3 2 2 4" xfId="808" xr:uid="{00000000-0005-0000-0000-00001E030000}"/>
    <cellStyle name="千分位 14 3 2 3" xfId="809" xr:uid="{00000000-0005-0000-0000-00001F030000}"/>
    <cellStyle name="千分位 14 3 2 3 2" xfId="810" xr:uid="{00000000-0005-0000-0000-000020030000}"/>
    <cellStyle name="千分位 14 3 2 3 2 2" xfId="811" xr:uid="{00000000-0005-0000-0000-000021030000}"/>
    <cellStyle name="千分位 14 3 2 3 3" xfId="812" xr:uid="{00000000-0005-0000-0000-000022030000}"/>
    <cellStyle name="千分位 14 3 2 4" xfId="813" xr:uid="{00000000-0005-0000-0000-000023030000}"/>
    <cellStyle name="千分位 14 3 2 4 2" xfId="814" xr:uid="{00000000-0005-0000-0000-000024030000}"/>
    <cellStyle name="千分位 14 3 2 5" xfId="815" xr:uid="{00000000-0005-0000-0000-000025030000}"/>
    <cellStyle name="千分位 14 3 3" xfId="816" xr:uid="{00000000-0005-0000-0000-000026030000}"/>
    <cellStyle name="千分位 14 3 3 2" xfId="817" xr:uid="{00000000-0005-0000-0000-000027030000}"/>
    <cellStyle name="千分位 14 3 3 2 2" xfId="818" xr:uid="{00000000-0005-0000-0000-000028030000}"/>
    <cellStyle name="千分位 14 3 3 2 2 2" xfId="819" xr:uid="{00000000-0005-0000-0000-000029030000}"/>
    <cellStyle name="千分位 14 3 3 2 3" xfId="820" xr:uid="{00000000-0005-0000-0000-00002A030000}"/>
    <cellStyle name="千分位 14 3 3 3" xfId="821" xr:uid="{00000000-0005-0000-0000-00002B030000}"/>
    <cellStyle name="千分位 14 3 3 3 2" xfId="822" xr:uid="{00000000-0005-0000-0000-00002C030000}"/>
    <cellStyle name="千分位 14 3 3 4" xfId="823" xr:uid="{00000000-0005-0000-0000-00002D030000}"/>
    <cellStyle name="千分位 14 3 4" xfId="824" xr:uid="{00000000-0005-0000-0000-00002E030000}"/>
    <cellStyle name="千分位 14 3 4 2" xfId="825" xr:uid="{00000000-0005-0000-0000-00002F030000}"/>
    <cellStyle name="千分位 14 3 4 2 2" xfId="826" xr:uid="{00000000-0005-0000-0000-000030030000}"/>
    <cellStyle name="千分位 14 3 4 3" xfId="827" xr:uid="{00000000-0005-0000-0000-000031030000}"/>
    <cellStyle name="千分位 14 3 5" xfId="828" xr:uid="{00000000-0005-0000-0000-000032030000}"/>
    <cellStyle name="千分位 14 3 5 2" xfId="829" xr:uid="{00000000-0005-0000-0000-000033030000}"/>
    <cellStyle name="千分位 14 3 6" xfId="830" xr:uid="{00000000-0005-0000-0000-000034030000}"/>
    <cellStyle name="千分位 14 4" xfId="831" xr:uid="{00000000-0005-0000-0000-000035030000}"/>
    <cellStyle name="千分位 14 4 2" xfId="832" xr:uid="{00000000-0005-0000-0000-000036030000}"/>
    <cellStyle name="千分位 14 4 2 2" xfId="833" xr:uid="{00000000-0005-0000-0000-000037030000}"/>
    <cellStyle name="千分位 14 4 2 2 2" xfId="834" xr:uid="{00000000-0005-0000-0000-000038030000}"/>
    <cellStyle name="千分位 14 4 2 2 2 2" xfId="835" xr:uid="{00000000-0005-0000-0000-000039030000}"/>
    <cellStyle name="千分位 14 4 2 2 3" xfId="836" xr:uid="{00000000-0005-0000-0000-00003A030000}"/>
    <cellStyle name="千分位 14 4 2 3" xfId="837" xr:uid="{00000000-0005-0000-0000-00003B030000}"/>
    <cellStyle name="千分位 14 4 2 3 2" xfId="838" xr:uid="{00000000-0005-0000-0000-00003C030000}"/>
    <cellStyle name="千分位 14 4 2 4" xfId="839" xr:uid="{00000000-0005-0000-0000-00003D030000}"/>
    <cellStyle name="千分位 14 4 3" xfId="840" xr:uid="{00000000-0005-0000-0000-00003E030000}"/>
    <cellStyle name="千分位 14 4 3 2" xfId="841" xr:uid="{00000000-0005-0000-0000-00003F030000}"/>
    <cellStyle name="千分位 14 4 3 2 2" xfId="842" xr:uid="{00000000-0005-0000-0000-000040030000}"/>
    <cellStyle name="千分位 14 4 3 3" xfId="843" xr:uid="{00000000-0005-0000-0000-000041030000}"/>
    <cellStyle name="千分位 14 4 4" xfId="844" xr:uid="{00000000-0005-0000-0000-000042030000}"/>
    <cellStyle name="千分位 14 4 4 2" xfId="845" xr:uid="{00000000-0005-0000-0000-000043030000}"/>
    <cellStyle name="千分位 14 4 5" xfId="846" xr:uid="{00000000-0005-0000-0000-000044030000}"/>
    <cellStyle name="千分位 14 5" xfId="847" xr:uid="{00000000-0005-0000-0000-000045030000}"/>
    <cellStyle name="千分位 14 5 2" xfId="848" xr:uid="{00000000-0005-0000-0000-000046030000}"/>
    <cellStyle name="千分位 14 5 2 2" xfId="849" xr:uid="{00000000-0005-0000-0000-000047030000}"/>
    <cellStyle name="千分位 14 5 2 2 2" xfId="850" xr:uid="{00000000-0005-0000-0000-000048030000}"/>
    <cellStyle name="千分位 14 5 2 3" xfId="851" xr:uid="{00000000-0005-0000-0000-000049030000}"/>
    <cellStyle name="千分位 14 5 3" xfId="852" xr:uid="{00000000-0005-0000-0000-00004A030000}"/>
    <cellStyle name="千分位 14 5 3 2" xfId="853" xr:uid="{00000000-0005-0000-0000-00004B030000}"/>
    <cellStyle name="千分位 14 5 4" xfId="854" xr:uid="{00000000-0005-0000-0000-00004C030000}"/>
    <cellStyle name="千分位 14 6" xfId="855" xr:uid="{00000000-0005-0000-0000-00004D030000}"/>
    <cellStyle name="千分位 14 6 2" xfId="856" xr:uid="{00000000-0005-0000-0000-00004E030000}"/>
    <cellStyle name="千分位 14 6 2 2" xfId="857" xr:uid="{00000000-0005-0000-0000-00004F030000}"/>
    <cellStyle name="千分位 14 6 3" xfId="858" xr:uid="{00000000-0005-0000-0000-000050030000}"/>
    <cellStyle name="千分位 14 7" xfId="859" xr:uid="{00000000-0005-0000-0000-000051030000}"/>
    <cellStyle name="千分位 14 7 2" xfId="860" xr:uid="{00000000-0005-0000-0000-000052030000}"/>
    <cellStyle name="千分位 14 8" xfId="861" xr:uid="{00000000-0005-0000-0000-000053030000}"/>
    <cellStyle name="千分位 15" xfId="862" xr:uid="{00000000-0005-0000-0000-000054030000}"/>
    <cellStyle name="千分位 15 2" xfId="863" xr:uid="{00000000-0005-0000-0000-000055030000}"/>
    <cellStyle name="千分位 15 2 2" xfId="864" xr:uid="{00000000-0005-0000-0000-000056030000}"/>
    <cellStyle name="千分位 15 2 2 2" xfId="865" xr:uid="{00000000-0005-0000-0000-000057030000}"/>
    <cellStyle name="千分位 15 2 2 2 2" xfId="866" xr:uid="{00000000-0005-0000-0000-000058030000}"/>
    <cellStyle name="千分位 15 2 2 2 2 2" xfId="867" xr:uid="{00000000-0005-0000-0000-000059030000}"/>
    <cellStyle name="千分位 15 2 2 2 2 2 2" xfId="868" xr:uid="{00000000-0005-0000-0000-00005A030000}"/>
    <cellStyle name="千分位 15 2 2 2 2 2 2 2" xfId="869" xr:uid="{00000000-0005-0000-0000-00005B030000}"/>
    <cellStyle name="千分位 15 2 2 2 2 2 3" xfId="870" xr:uid="{00000000-0005-0000-0000-00005C030000}"/>
    <cellStyle name="千分位 15 2 2 2 2 3" xfId="871" xr:uid="{00000000-0005-0000-0000-00005D030000}"/>
    <cellStyle name="千分位 15 2 2 2 2 3 2" xfId="872" xr:uid="{00000000-0005-0000-0000-00005E030000}"/>
    <cellStyle name="千分位 15 2 2 2 2 4" xfId="873" xr:uid="{00000000-0005-0000-0000-00005F030000}"/>
    <cellStyle name="千分位 15 2 2 2 3" xfId="874" xr:uid="{00000000-0005-0000-0000-000060030000}"/>
    <cellStyle name="千分位 15 2 2 2 3 2" xfId="875" xr:uid="{00000000-0005-0000-0000-000061030000}"/>
    <cellStyle name="千分位 15 2 2 2 3 2 2" xfId="876" xr:uid="{00000000-0005-0000-0000-000062030000}"/>
    <cellStyle name="千分位 15 2 2 2 3 3" xfId="877" xr:uid="{00000000-0005-0000-0000-000063030000}"/>
    <cellStyle name="千分位 15 2 2 2 4" xfId="878" xr:uid="{00000000-0005-0000-0000-000064030000}"/>
    <cellStyle name="千分位 15 2 2 2 4 2" xfId="879" xr:uid="{00000000-0005-0000-0000-000065030000}"/>
    <cellStyle name="千分位 15 2 2 2 5" xfId="880" xr:uid="{00000000-0005-0000-0000-000066030000}"/>
    <cellStyle name="千分位 15 2 2 3" xfId="881" xr:uid="{00000000-0005-0000-0000-000067030000}"/>
    <cellStyle name="千分位 15 2 2 3 2" xfId="882" xr:uid="{00000000-0005-0000-0000-000068030000}"/>
    <cellStyle name="千分位 15 2 2 3 2 2" xfId="883" xr:uid="{00000000-0005-0000-0000-000069030000}"/>
    <cellStyle name="千分位 15 2 2 3 2 2 2" xfId="884" xr:uid="{00000000-0005-0000-0000-00006A030000}"/>
    <cellStyle name="千分位 15 2 2 3 2 3" xfId="885" xr:uid="{00000000-0005-0000-0000-00006B030000}"/>
    <cellStyle name="千分位 15 2 2 3 3" xfId="886" xr:uid="{00000000-0005-0000-0000-00006C030000}"/>
    <cellStyle name="千分位 15 2 2 3 3 2" xfId="887" xr:uid="{00000000-0005-0000-0000-00006D030000}"/>
    <cellStyle name="千分位 15 2 2 3 4" xfId="888" xr:uid="{00000000-0005-0000-0000-00006E030000}"/>
    <cellStyle name="千分位 15 2 2 4" xfId="889" xr:uid="{00000000-0005-0000-0000-00006F030000}"/>
    <cellStyle name="千分位 15 2 2 4 2" xfId="890" xr:uid="{00000000-0005-0000-0000-000070030000}"/>
    <cellStyle name="千分位 15 2 2 4 2 2" xfId="891" xr:uid="{00000000-0005-0000-0000-000071030000}"/>
    <cellStyle name="千分位 15 2 2 4 3" xfId="892" xr:uid="{00000000-0005-0000-0000-000072030000}"/>
    <cellStyle name="千分位 15 2 2 5" xfId="893" xr:uid="{00000000-0005-0000-0000-000073030000}"/>
    <cellStyle name="千分位 15 2 2 5 2" xfId="894" xr:uid="{00000000-0005-0000-0000-000074030000}"/>
    <cellStyle name="千分位 15 2 2 6" xfId="895" xr:uid="{00000000-0005-0000-0000-000075030000}"/>
    <cellStyle name="千分位 15 2 3" xfId="896" xr:uid="{00000000-0005-0000-0000-000076030000}"/>
    <cellStyle name="千分位 15 2 3 2" xfId="897" xr:uid="{00000000-0005-0000-0000-000077030000}"/>
    <cellStyle name="千分位 15 2 3 2 2" xfId="898" xr:uid="{00000000-0005-0000-0000-000078030000}"/>
    <cellStyle name="千分位 15 2 3 2 2 2" xfId="899" xr:uid="{00000000-0005-0000-0000-000079030000}"/>
    <cellStyle name="千分位 15 2 3 2 2 2 2" xfId="900" xr:uid="{00000000-0005-0000-0000-00007A030000}"/>
    <cellStyle name="千分位 15 2 3 2 2 3" xfId="901" xr:uid="{00000000-0005-0000-0000-00007B030000}"/>
    <cellStyle name="千分位 15 2 3 2 3" xfId="902" xr:uid="{00000000-0005-0000-0000-00007C030000}"/>
    <cellStyle name="千分位 15 2 3 2 3 2" xfId="903" xr:uid="{00000000-0005-0000-0000-00007D030000}"/>
    <cellStyle name="千分位 15 2 3 2 4" xfId="904" xr:uid="{00000000-0005-0000-0000-00007E030000}"/>
    <cellStyle name="千分位 15 2 3 3" xfId="905" xr:uid="{00000000-0005-0000-0000-00007F030000}"/>
    <cellStyle name="千分位 15 2 3 3 2" xfId="906" xr:uid="{00000000-0005-0000-0000-000080030000}"/>
    <cellStyle name="千分位 15 2 3 3 2 2" xfId="907" xr:uid="{00000000-0005-0000-0000-000081030000}"/>
    <cellStyle name="千分位 15 2 3 3 3" xfId="908" xr:uid="{00000000-0005-0000-0000-000082030000}"/>
    <cellStyle name="千分位 15 2 3 4" xfId="909" xr:uid="{00000000-0005-0000-0000-000083030000}"/>
    <cellStyle name="千分位 15 2 3 4 2" xfId="910" xr:uid="{00000000-0005-0000-0000-000084030000}"/>
    <cellStyle name="千分位 15 2 3 5" xfId="911" xr:uid="{00000000-0005-0000-0000-000085030000}"/>
    <cellStyle name="千分位 15 2 4" xfId="912" xr:uid="{00000000-0005-0000-0000-000086030000}"/>
    <cellStyle name="千分位 15 2 4 2" xfId="913" xr:uid="{00000000-0005-0000-0000-000087030000}"/>
    <cellStyle name="千分位 15 2 4 2 2" xfId="914" xr:uid="{00000000-0005-0000-0000-000088030000}"/>
    <cellStyle name="千分位 15 2 4 2 2 2" xfId="915" xr:uid="{00000000-0005-0000-0000-000089030000}"/>
    <cellStyle name="千分位 15 2 4 2 3" xfId="916" xr:uid="{00000000-0005-0000-0000-00008A030000}"/>
    <cellStyle name="千分位 15 2 4 3" xfId="917" xr:uid="{00000000-0005-0000-0000-00008B030000}"/>
    <cellStyle name="千分位 15 2 4 3 2" xfId="918" xr:uid="{00000000-0005-0000-0000-00008C030000}"/>
    <cellStyle name="千分位 15 2 4 4" xfId="919" xr:uid="{00000000-0005-0000-0000-00008D030000}"/>
    <cellStyle name="千分位 15 2 5" xfId="920" xr:uid="{00000000-0005-0000-0000-00008E030000}"/>
    <cellStyle name="千分位 15 2 5 2" xfId="921" xr:uid="{00000000-0005-0000-0000-00008F030000}"/>
    <cellStyle name="千分位 15 2 5 2 2" xfId="922" xr:uid="{00000000-0005-0000-0000-000090030000}"/>
    <cellStyle name="千分位 15 2 5 3" xfId="923" xr:uid="{00000000-0005-0000-0000-000091030000}"/>
    <cellStyle name="千分位 15 2 6" xfId="924" xr:uid="{00000000-0005-0000-0000-000092030000}"/>
    <cellStyle name="千分位 15 2 6 2" xfId="925" xr:uid="{00000000-0005-0000-0000-000093030000}"/>
    <cellStyle name="千分位 15 2 7" xfId="926" xr:uid="{00000000-0005-0000-0000-000094030000}"/>
    <cellStyle name="千分位 15 3" xfId="927" xr:uid="{00000000-0005-0000-0000-000095030000}"/>
    <cellStyle name="千分位 15 3 2" xfId="928" xr:uid="{00000000-0005-0000-0000-000096030000}"/>
    <cellStyle name="千分位 15 3 2 2" xfId="929" xr:uid="{00000000-0005-0000-0000-000097030000}"/>
    <cellStyle name="千分位 15 3 2 2 2" xfId="930" xr:uid="{00000000-0005-0000-0000-000098030000}"/>
    <cellStyle name="千分位 15 3 2 2 2 2" xfId="931" xr:uid="{00000000-0005-0000-0000-000099030000}"/>
    <cellStyle name="千分位 15 3 2 2 2 2 2" xfId="932" xr:uid="{00000000-0005-0000-0000-00009A030000}"/>
    <cellStyle name="千分位 15 3 2 2 2 3" xfId="933" xr:uid="{00000000-0005-0000-0000-00009B030000}"/>
    <cellStyle name="千分位 15 3 2 2 3" xfId="934" xr:uid="{00000000-0005-0000-0000-00009C030000}"/>
    <cellStyle name="千分位 15 3 2 2 3 2" xfId="935" xr:uid="{00000000-0005-0000-0000-00009D030000}"/>
    <cellStyle name="千分位 15 3 2 2 4" xfId="936" xr:uid="{00000000-0005-0000-0000-00009E030000}"/>
    <cellStyle name="千分位 15 3 2 3" xfId="937" xr:uid="{00000000-0005-0000-0000-00009F030000}"/>
    <cellStyle name="千分位 15 3 2 3 2" xfId="938" xr:uid="{00000000-0005-0000-0000-0000A0030000}"/>
    <cellStyle name="千分位 15 3 2 3 2 2" xfId="939" xr:uid="{00000000-0005-0000-0000-0000A1030000}"/>
    <cellStyle name="千分位 15 3 2 3 3" xfId="940" xr:uid="{00000000-0005-0000-0000-0000A2030000}"/>
    <cellStyle name="千分位 15 3 2 4" xfId="941" xr:uid="{00000000-0005-0000-0000-0000A3030000}"/>
    <cellStyle name="千分位 15 3 2 4 2" xfId="942" xr:uid="{00000000-0005-0000-0000-0000A4030000}"/>
    <cellStyle name="千分位 15 3 2 5" xfId="943" xr:uid="{00000000-0005-0000-0000-0000A5030000}"/>
    <cellStyle name="千分位 15 3 3" xfId="944" xr:uid="{00000000-0005-0000-0000-0000A6030000}"/>
    <cellStyle name="千分位 15 3 3 2" xfId="945" xr:uid="{00000000-0005-0000-0000-0000A7030000}"/>
    <cellStyle name="千分位 15 3 3 2 2" xfId="946" xr:uid="{00000000-0005-0000-0000-0000A8030000}"/>
    <cellStyle name="千分位 15 3 3 2 2 2" xfId="947" xr:uid="{00000000-0005-0000-0000-0000A9030000}"/>
    <cellStyle name="千分位 15 3 3 2 3" xfId="948" xr:uid="{00000000-0005-0000-0000-0000AA030000}"/>
    <cellStyle name="千分位 15 3 3 3" xfId="949" xr:uid="{00000000-0005-0000-0000-0000AB030000}"/>
    <cellStyle name="千分位 15 3 3 3 2" xfId="950" xr:uid="{00000000-0005-0000-0000-0000AC030000}"/>
    <cellStyle name="千分位 15 3 3 4" xfId="951" xr:uid="{00000000-0005-0000-0000-0000AD030000}"/>
    <cellStyle name="千分位 15 3 4" xfId="952" xr:uid="{00000000-0005-0000-0000-0000AE030000}"/>
    <cellStyle name="千分位 15 3 4 2" xfId="953" xr:uid="{00000000-0005-0000-0000-0000AF030000}"/>
    <cellStyle name="千分位 15 3 4 2 2" xfId="954" xr:uid="{00000000-0005-0000-0000-0000B0030000}"/>
    <cellStyle name="千分位 15 3 4 3" xfId="955" xr:uid="{00000000-0005-0000-0000-0000B1030000}"/>
    <cellStyle name="千分位 15 3 5" xfId="956" xr:uid="{00000000-0005-0000-0000-0000B2030000}"/>
    <cellStyle name="千分位 15 3 5 2" xfId="957" xr:uid="{00000000-0005-0000-0000-0000B3030000}"/>
    <cellStyle name="千分位 15 3 6" xfId="958" xr:uid="{00000000-0005-0000-0000-0000B4030000}"/>
    <cellStyle name="千分位 15 4" xfId="959" xr:uid="{00000000-0005-0000-0000-0000B5030000}"/>
    <cellStyle name="千分位 15 4 2" xfId="960" xr:uid="{00000000-0005-0000-0000-0000B6030000}"/>
    <cellStyle name="千分位 15 4 2 2" xfId="961" xr:uid="{00000000-0005-0000-0000-0000B7030000}"/>
    <cellStyle name="千分位 15 4 2 2 2" xfId="962" xr:uid="{00000000-0005-0000-0000-0000B8030000}"/>
    <cellStyle name="千分位 15 4 2 2 2 2" xfId="963" xr:uid="{00000000-0005-0000-0000-0000B9030000}"/>
    <cellStyle name="千分位 15 4 2 2 3" xfId="964" xr:uid="{00000000-0005-0000-0000-0000BA030000}"/>
    <cellStyle name="千分位 15 4 2 3" xfId="965" xr:uid="{00000000-0005-0000-0000-0000BB030000}"/>
    <cellStyle name="千分位 15 4 2 3 2" xfId="966" xr:uid="{00000000-0005-0000-0000-0000BC030000}"/>
    <cellStyle name="千分位 15 4 2 4" xfId="967" xr:uid="{00000000-0005-0000-0000-0000BD030000}"/>
    <cellStyle name="千分位 15 4 3" xfId="968" xr:uid="{00000000-0005-0000-0000-0000BE030000}"/>
    <cellStyle name="千分位 15 4 3 2" xfId="969" xr:uid="{00000000-0005-0000-0000-0000BF030000}"/>
    <cellStyle name="千分位 15 4 3 2 2" xfId="970" xr:uid="{00000000-0005-0000-0000-0000C0030000}"/>
    <cellStyle name="千分位 15 4 3 3" xfId="971" xr:uid="{00000000-0005-0000-0000-0000C1030000}"/>
    <cellStyle name="千分位 15 4 4" xfId="972" xr:uid="{00000000-0005-0000-0000-0000C2030000}"/>
    <cellStyle name="千分位 15 4 4 2" xfId="973" xr:uid="{00000000-0005-0000-0000-0000C3030000}"/>
    <cellStyle name="千分位 15 4 5" xfId="974" xr:uid="{00000000-0005-0000-0000-0000C4030000}"/>
    <cellStyle name="千分位 15 5" xfId="975" xr:uid="{00000000-0005-0000-0000-0000C5030000}"/>
    <cellStyle name="千分位 15 5 2" xfId="976" xr:uid="{00000000-0005-0000-0000-0000C6030000}"/>
    <cellStyle name="千分位 15 5 2 2" xfId="977" xr:uid="{00000000-0005-0000-0000-0000C7030000}"/>
    <cellStyle name="千分位 15 5 2 2 2" xfId="978" xr:uid="{00000000-0005-0000-0000-0000C8030000}"/>
    <cellStyle name="千分位 15 5 2 3" xfId="979" xr:uid="{00000000-0005-0000-0000-0000C9030000}"/>
    <cellStyle name="千分位 15 5 3" xfId="980" xr:uid="{00000000-0005-0000-0000-0000CA030000}"/>
    <cellStyle name="千分位 15 5 3 2" xfId="981" xr:uid="{00000000-0005-0000-0000-0000CB030000}"/>
    <cellStyle name="千分位 15 5 4" xfId="982" xr:uid="{00000000-0005-0000-0000-0000CC030000}"/>
    <cellStyle name="千分位 15 6" xfId="983" xr:uid="{00000000-0005-0000-0000-0000CD030000}"/>
    <cellStyle name="千分位 15 6 2" xfId="984" xr:uid="{00000000-0005-0000-0000-0000CE030000}"/>
    <cellStyle name="千分位 15 6 2 2" xfId="985" xr:uid="{00000000-0005-0000-0000-0000CF030000}"/>
    <cellStyle name="千分位 15 6 3" xfId="986" xr:uid="{00000000-0005-0000-0000-0000D0030000}"/>
    <cellStyle name="千分位 15 7" xfId="987" xr:uid="{00000000-0005-0000-0000-0000D1030000}"/>
    <cellStyle name="千分位 15 7 2" xfId="988" xr:uid="{00000000-0005-0000-0000-0000D2030000}"/>
    <cellStyle name="千分位 15 8" xfId="989" xr:uid="{00000000-0005-0000-0000-0000D3030000}"/>
    <cellStyle name="千分位 16" xfId="990" xr:uid="{00000000-0005-0000-0000-0000D4030000}"/>
    <cellStyle name="千分位 16 2" xfId="991" xr:uid="{00000000-0005-0000-0000-0000D5030000}"/>
    <cellStyle name="千分位 16 2 2" xfId="992" xr:uid="{00000000-0005-0000-0000-0000D6030000}"/>
    <cellStyle name="千分位 16 2 2 2" xfId="993" xr:uid="{00000000-0005-0000-0000-0000D7030000}"/>
    <cellStyle name="千分位 16 2 2 2 2" xfId="994" xr:uid="{00000000-0005-0000-0000-0000D8030000}"/>
    <cellStyle name="千分位 16 2 2 2 2 2" xfId="995" xr:uid="{00000000-0005-0000-0000-0000D9030000}"/>
    <cellStyle name="千分位 16 2 2 2 2 2 2" xfId="996" xr:uid="{00000000-0005-0000-0000-0000DA030000}"/>
    <cellStyle name="千分位 16 2 2 2 2 2 2 2" xfId="997" xr:uid="{00000000-0005-0000-0000-0000DB030000}"/>
    <cellStyle name="千分位 16 2 2 2 2 2 3" xfId="998" xr:uid="{00000000-0005-0000-0000-0000DC030000}"/>
    <cellStyle name="千分位 16 2 2 2 2 3" xfId="999" xr:uid="{00000000-0005-0000-0000-0000DD030000}"/>
    <cellStyle name="千分位 16 2 2 2 2 3 2" xfId="1000" xr:uid="{00000000-0005-0000-0000-0000DE030000}"/>
    <cellStyle name="千分位 16 2 2 2 2 4" xfId="1001" xr:uid="{00000000-0005-0000-0000-0000DF030000}"/>
    <cellStyle name="千分位 16 2 2 2 3" xfId="1002" xr:uid="{00000000-0005-0000-0000-0000E0030000}"/>
    <cellStyle name="千分位 16 2 2 2 3 2" xfId="1003" xr:uid="{00000000-0005-0000-0000-0000E1030000}"/>
    <cellStyle name="千分位 16 2 2 2 3 2 2" xfId="1004" xr:uid="{00000000-0005-0000-0000-0000E2030000}"/>
    <cellStyle name="千分位 16 2 2 2 3 3" xfId="1005" xr:uid="{00000000-0005-0000-0000-0000E3030000}"/>
    <cellStyle name="千分位 16 2 2 2 4" xfId="1006" xr:uid="{00000000-0005-0000-0000-0000E4030000}"/>
    <cellStyle name="千分位 16 2 2 2 4 2" xfId="1007" xr:uid="{00000000-0005-0000-0000-0000E5030000}"/>
    <cellStyle name="千分位 16 2 2 2 5" xfId="1008" xr:uid="{00000000-0005-0000-0000-0000E6030000}"/>
    <cellStyle name="千分位 16 2 2 3" xfId="1009" xr:uid="{00000000-0005-0000-0000-0000E7030000}"/>
    <cellStyle name="千分位 16 2 2 3 2" xfId="1010" xr:uid="{00000000-0005-0000-0000-0000E8030000}"/>
    <cellStyle name="千分位 16 2 2 3 2 2" xfId="1011" xr:uid="{00000000-0005-0000-0000-0000E9030000}"/>
    <cellStyle name="千分位 16 2 2 3 2 2 2" xfId="1012" xr:uid="{00000000-0005-0000-0000-0000EA030000}"/>
    <cellStyle name="千分位 16 2 2 3 2 3" xfId="1013" xr:uid="{00000000-0005-0000-0000-0000EB030000}"/>
    <cellStyle name="千分位 16 2 2 3 3" xfId="1014" xr:uid="{00000000-0005-0000-0000-0000EC030000}"/>
    <cellStyle name="千分位 16 2 2 3 3 2" xfId="1015" xr:uid="{00000000-0005-0000-0000-0000ED030000}"/>
    <cellStyle name="千分位 16 2 2 3 4" xfId="1016" xr:uid="{00000000-0005-0000-0000-0000EE030000}"/>
    <cellStyle name="千分位 16 2 2 4" xfId="1017" xr:uid="{00000000-0005-0000-0000-0000EF030000}"/>
    <cellStyle name="千分位 16 2 2 4 2" xfId="1018" xr:uid="{00000000-0005-0000-0000-0000F0030000}"/>
    <cellStyle name="千分位 16 2 2 4 2 2" xfId="1019" xr:uid="{00000000-0005-0000-0000-0000F1030000}"/>
    <cellStyle name="千分位 16 2 2 4 3" xfId="1020" xr:uid="{00000000-0005-0000-0000-0000F2030000}"/>
    <cellStyle name="千分位 16 2 2 5" xfId="1021" xr:uid="{00000000-0005-0000-0000-0000F3030000}"/>
    <cellStyle name="千分位 16 2 2 5 2" xfId="1022" xr:uid="{00000000-0005-0000-0000-0000F4030000}"/>
    <cellStyle name="千分位 16 2 2 6" xfId="1023" xr:uid="{00000000-0005-0000-0000-0000F5030000}"/>
    <cellStyle name="千分位 16 2 3" xfId="1024" xr:uid="{00000000-0005-0000-0000-0000F6030000}"/>
    <cellStyle name="千分位 16 2 3 2" xfId="1025" xr:uid="{00000000-0005-0000-0000-0000F7030000}"/>
    <cellStyle name="千分位 16 2 3 2 2" xfId="1026" xr:uid="{00000000-0005-0000-0000-0000F8030000}"/>
    <cellStyle name="千分位 16 2 3 2 2 2" xfId="1027" xr:uid="{00000000-0005-0000-0000-0000F9030000}"/>
    <cellStyle name="千分位 16 2 3 2 2 2 2" xfId="1028" xr:uid="{00000000-0005-0000-0000-0000FA030000}"/>
    <cellStyle name="千分位 16 2 3 2 2 3" xfId="1029" xr:uid="{00000000-0005-0000-0000-0000FB030000}"/>
    <cellStyle name="千分位 16 2 3 2 3" xfId="1030" xr:uid="{00000000-0005-0000-0000-0000FC030000}"/>
    <cellStyle name="千分位 16 2 3 2 3 2" xfId="1031" xr:uid="{00000000-0005-0000-0000-0000FD030000}"/>
    <cellStyle name="千分位 16 2 3 2 4" xfId="1032" xr:uid="{00000000-0005-0000-0000-0000FE030000}"/>
    <cellStyle name="千分位 16 2 3 3" xfId="1033" xr:uid="{00000000-0005-0000-0000-0000FF030000}"/>
    <cellStyle name="千分位 16 2 3 3 2" xfId="1034" xr:uid="{00000000-0005-0000-0000-000000040000}"/>
    <cellStyle name="千分位 16 2 3 3 2 2" xfId="1035" xr:uid="{00000000-0005-0000-0000-000001040000}"/>
    <cellStyle name="千分位 16 2 3 3 3" xfId="1036" xr:uid="{00000000-0005-0000-0000-000002040000}"/>
    <cellStyle name="千分位 16 2 3 4" xfId="1037" xr:uid="{00000000-0005-0000-0000-000003040000}"/>
    <cellStyle name="千分位 16 2 3 4 2" xfId="1038" xr:uid="{00000000-0005-0000-0000-000004040000}"/>
    <cellStyle name="千分位 16 2 3 5" xfId="1039" xr:uid="{00000000-0005-0000-0000-000005040000}"/>
    <cellStyle name="千分位 16 2 4" xfId="1040" xr:uid="{00000000-0005-0000-0000-000006040000}"/>
    <cellStyle name="千分位 16 2 4 2" xfId="1041" xr:uid="{00000000-0005-0000-0000-000007040000}"/>
    <cellStyle name="千分位 16 2 4 2 2" xfId="1042" xr:uid="{00000000-0005-0000-0000-000008040000}"/>
    <cellStyle name="千分位 16 2 4 2 2 2" xfId="1043" xr:uid="{00000000-0005-0000-0000-000009040000}"/>
    <cellStyle name="千分位 16 2 4 2 3" xfId="1044" xr:uid="{00000000-0005-0000-0000-00000A040000}"/>
    <cellStyle name="千分位 16 2 4 3" xfId="1045" xr:uid="{00000000-0005-0000-0000-00000B040000}"/>
    <cellStyle name="千分位 16 2 4 3 2" xfId="1046" xr:uid="{00000000-0005-0000-0000-00000C040000}"/>
    <cellStyle name="千分位 16 2 4 4" xfId="1047" xr:uid="{00000000-0005-0000-0000-00000D040000}"/>
    <cellStyle name="千分位 16 2 5" xfId="1048" xr:uid="{00000000-0005-0000-0000-00000E040000}"/>
    <cellStyle name="千分位 16 2 5 2" xfId="1049" xr:uid="{00000000-0005-0000-0000-00000F040000}"/>
    <cellStyle name="千分位 16 2 5 2 2" xfId="1050" xr:uid="{00000000-0005-0000-0000-000010040000}"/>
    <cellStyle name="千分位 16 2 5 3" xfId="1051" xr:uid="{00000000-0005-0000-0000-000011040000}"/>
    <cellStyle name="千分位 16 2 6" xfId="1052" xr:uid="{00000000-0005-0000-0000-000012040000}"/>
    <cellStyle name="千分位 16 2 6 2" xfId="1053" xr:uid="{00000000-0005-0000-0000-000013040000}"/>
    <cellStyle name="千分位 16 2 7" xfId="1054" xr:uid="{00000000-0005-0000-0000-000014040000}"/>
    <cellStyle name="千分位 16 3" xfId="1055" xr:uid="{00000000-0005-0000-0000-000015040000}"/>
    <cellStyle name="千分位 16 3 2" xfId="1056" xr:uid="{00000000-0005-0000-0000-000016040000}"/>
    <cellStyle name="千分位 16 3 2 2" xfId="1057" xr:uid="{00000000-0005-0000-0000-000017040000}"/>
    <cellStyle name="千分位 16 3 2 2 2" xfId="1058" xr:uid="{00000000-0005-0000-0000-000018040000}"/>
    <cellStyle name="千分位 16 3 2 2 2 2" xfId="1059" xr:uid="{00000000-0005-0000-0000-000019040000}"/>
    <cellStyle name="千分位 16 3 2 2 2 2 2" xfId="1060" xr:uid="{00000000-0005-0000-0000-00001A040000}"/>
    <cellStyle name="千分位 16 3 2 2 2 3" xfId="1061" xr:uid="{00000000-0005-0000-0000-00001B040000}"/>
    <cellStyle name="千分位 16 3 2 2 3" xfId="1062" xr:uid="{00000000-0005-0000-0000-00001C040000}"/>
    <cellStyle name="千分位 16 3 2 2 3 2" xfId="1063" xr:uid="{00000000-0005-0000-0000-00001D040000}"/>
    <cellStyle name="千分位 16 3 2 2 4" xfId="1064" xr:uid="{00000000-0005-0000-0000-00001E040000}"/>
    <cellStyle name="千分位 16 3 2 3" xfId="1065" xr:uid="{00000000-0005-0000-0000-00001F040000}"/>
    <cellStyle name="千分位 16 3 2 3 2" xfId="1066" xr:uid="{00000000-0005-0000-0000-000020040000}"/>
    <cellStyle name="千分位 16 3 2 3 2 2" xfId="1067" xr:uid="{00000000-0005-0000-0000-000021040000}"/>
    <cellStyle name="千分位 16 3 2 3 3" xfId="1068" xr:uid="{00000000-0005-0000-0000-000022040000}"/>
    <cellStyle name="千分位 16 3 2 4" xfId="1069" xr:uid="{00000000-0005-0000-0000-000023040000}"/>
    <cellStyle name="千分位 16 3 2 4 2" xfId="1070" xr:uid="{00000000-0005-0000-0000-000024040000}"/>
    <cellStyle name="千分位 16 3 2 5" xfId="1071" xr:uid="{00000000-0005-0000-0000-000025040000}"/>
    <cellStyle name="千分位 16 3 3" xfId="1072" xr:uid="{00000000-0005-0000-0000-000026040000}"/>
    <cellStyle name="千分位 16 3 3 2" xfId="1073" xr:uid="{00000000-0005-0000-0000-000027040000}"/>
    <cellStyle name="千分位 16 3 3 2 2" xfId="1074" xr:uid="{00000000-0005-0000-0000-000028040000}"/>
    <cellStyle name="千分位 16 3 3 2 2 2" xfId="1075" xr:uid="{00000000-0005-0000-0000-000029040000}"/>
    <cellStyle name="千分位 16 3 3 2 3" xfId="1076" xr:uid="{00000000-0005-0000-0000-00002A040000}"/>
    <cellStyle name="千分位 16 3 3 3" xfId="1077" xr:uid="{00000000-0005-0000-0000-00002B040000}"/>
    <cellStyle name="千分位 16 3 3 3 2" xfId="1078" xr:uid="{00000000-0005-0000-0000-00002C040000}"/>
    <cellStyle name="千分位 16 3 3 4" xfId="1079" xr:uid="{00000000-0005-0000-0000-00002D040000}"/>
    <cellStyle name="千分位 16 3 4" xfId="1080" xr:uid="{00000000-0005-0000-0000-00002E040000}"/>
    <cellStyle name="千分位 16 3 4 2" xfId="1081" xr:uid="{00000000-0005-0000-0000-00002F040000}"/>
    <cellStyle name="千分位 16 3 4 2 2" xfId="1082" xr:uid="{00000000-0005-0000-0000-000030040000}"/>
    <cellStyle name="千分位 16 3 4 3" xfId="1083" xr:uid="{00000000-0005-0000-0000-000031040000}"/>
    <cellStyle name="千分位 16 3 5" xfId="1084" xr:uid="{00000000-0005-0000-0000-000032040000}"/>
    <cellStyle name="千分位 16 3 5 2" xfId="1085" xr:uid="{00000000-0005-0000-0000-000033040000}"/>
    <cellStyle name="千分位 16 3 6" xfId="1086" xr:uid="{00000000-0005-0000-0000-000034040000}"/>
    <cellStyle name="千分位 16 4" xfId="1087" xr:uid="{00000000-0005-0000-0000-000035040000}"/>
    <cellStyle name="千分位 16 4 2" xfId="1088" xr:uid="{00000000-0005-0000-0000-000036040000}"/>
    <cellStyle name="千分位 16 4 2 2" xfId="1089" xr:uid="{00000000-0005-0000-0000-000037040000}"/>
    <cellStyle name="千分位 16 4 2 2 2" xfId="1090" xr:uid="{00000000-0005-0000-0000-000038040000}"/>
    <cellStyle name="千分位 16 4 2 2 2 2" xfId="1091" xr:uid="{00000000-0005-0000-0000-000039040000}"/>
    <cellStyle name="千分位 16 4 2 2 3" xfId="1092" xr:uid="{00000000-0005-0000-0000-00003A040000}"/>
    <cellStyle name="千分位 16 4 2 3" xfId="1093" xr:uid="{00000000-0005-0000-0000-00003B040000}"/>
    <cellStyle name="千分位 16 4 2 3 2" xfId="1094" xr:uid="{00000000-0005-0000-0000-00003C040000}"/>
    <cellStyle name="千分位 16 4 2 4" xfId="1095" xr:uid="{00000000-0005-0000-0000-00003D040000}"/>
    <cellStyle name="千分位 16 4 3" xfId="1096" xr:uid="{00000000-0005-0000-0000-00003E040000}"/>
    <cellStyle name="千分位 16 4 3 2" xfId="1097" xr:uid="{00000000-0005-0000-0000-00003F040000}"/>
    <cellStyle name="千分位 16 4 3 2 2" xfId="1098" xr:uid="{00000000-0005-0000-0000-000040040000}"/>
    <cellStyle name="千分位 16 4 3 3" xfId="1099" xr:uid="{00000000-0005-0000-0000-000041040000}"/>
    <cellStyle name="千分位 16 4 4" xfId="1100" xr:uid="{00000000-0005-0000-0000-000042040000}"/>
    <cellStyle name="千分位 16 4 4 2" xfId="1101" xr:uid="{00000000-0005-0000-0000-000043040000}"/>
    <cellStyle name="千分位 16 4 5" xfId="1102" xr:uid="{00000000-0005-0000-0000-000044040000}"/>
    <cellStyle name="千分位 16 5" xfId="1103" xr:uid="{00000000-0005-0000-0000-000045040000}"/>
    <cellStyle name="千分位 16 5 2" xfId="1104" xr:uid="{00000000-0005-0000-0000-000046040000}"/>
    <cellStyle name="千分位 16 5 2 2" xfId="1105" xr:uid="{00000000-0005-0000-0000-000047040000}"/>
    <cellStyle name="千分位 16 5 2 2 2" xfId="1106" xr:uid="{00000000-0005-0000-0000-000048040000}"/>
    <cellStyle name="千分位 16 5 2 3" xfId="1107" xr:uid="{00000000-0005-0000-0000-000049040000}"/>
    <cellStyle name="千分位 16 5 3" xfId="1108" xr:uid="{00000000-0005-0000-0000-00004A040000}"/>
    <cellStyle name="千分位 16 5 3 2" xfId="1109" xr:uid="{00000000-0005-0000-0000-00004B040000}"/>
    <cellStyle name="千分位 16 5 4" xfId="1110" xr:uid="{00000000-0005-0000-0000-00004C040000}"/>
    <cellStyle name="千分位 16 6" xfId="1111" xr:uid="{00000000-0005-0000-0000-00004D040000}"/>
    <cellStyle name="千分位 16 6 2" xfId="1112" xr:uid="{00000000-0005-0000-0000-00004E040000}"/>
    <cellStyle name="千分位 16 6 2 2" xfId="1113" xr:uid="{00000000-0005-0000-0000-00004F040000}"/>
    <cellStyle name="千分位 16 6 3" xfId="1114" xr:uid="{00000000-0005-0000-0000-000050040000}"/>
    <cellStyle name="千分位 16 7" xfId="1115" xr:uid="{00000000-0005-0000-0000-000051040000}"/>
    <cellStyle name="千分位 16 7 2" xfId="1116" xr:uid="{00000000-0005-0000-0000-000052040000}"/>
    <cellStyle name="千分位 16 8" xfId="1117" xr:uid="{00000000-0005-0000-0000-000053040000}"/>
    <cellStyle name="千分位 17" xfId="1118" xr:uid="{00000000-0005-0000-0000-000054040000}"/>
    <cellStyle name="千分位 17 2" xfId="1119" xr:uid="{00000000-0005-0000-0000-000055040000}"/>
    <cellStyle name="千分位 17 2 2" xfId="1120" xr:uid="{00000000-0005-0000-0000-000056040000}"/>
    <cellStyle name="千分位 17 2 2 2" xfId="1121" xr:uid="{00000000-0005-0000-0000-000057040000}"/>
    <cellStyle name="千分位 17 2 2 2 2" xfId="1122" xr:uid="{00000000-0005-0000-0000-000058040000}"/>
    <cellStyle name="千分位 17 2 2 2 2 2" xfId="1123" xr:uid="{00000000-0005-0000-0000-000059040000}"/>
    <cellStyle name="千分位 17 2 2 2 2 2 2" xfId="1124" xr:uid="{00000000-0005-0000-0000-00005A040000}"/>
    <cellStyle name="千分位 17 2 2 2 2 2 2 2" xfId="1125" xr:uid="{00000000-0005-0000-0000-00005B040000}"/>
    <cellStyle name="千分位 17 2 2 2 2 2 3" xfId="1126" xr:uid="{00000000-0005-0000-0000-00005C040000}"/>
    <cellStyle name="千分位 17 2 2 2 2 3" xfId="1127" xr:uid="{00000000-0005-0000-0000-00005D040000}"/>
    <cellStyle name="千分位 17 2 2 2 2 3 2" xfId="1128" xr:uid="{00000000-0005-0000-0000-00005E040000}"/>
    <cellStyle name="千分位 17 2 2 2 2 4" xfId="1129" xr:uid="{00000000-0005-0000-0000-00005F040000}"/>
    <cellStyle name="千分位 17 2 2 2 3" xfId="1130" xr:uid="{00000000-0005-0000-0000-000060040000}"/>
    <cellStyle name="千分位 17 2 2 2 3 2" xfId="1131" xr:uid="{00000000-0005-0000-0000-000061040000}"/>
    <cellStyle name="千分位 17 2 2 2 3 2 2" xfId="1132" xr:uid="{00000000-0005-0000-0000-000062040000}"/>
    <cellStyle name="千分位 17 2 2 2 3 3" xfId="1133" xr:uid="{00000000-0005-0000-0000-000063040000}"/>
    <cellStyle name="千分位 17 2 2 2 4" xfId="1134" xr:uid="{00000000-0005-0000-0000-000064040000}"/>
    <cellStyle name="千分位 17 2 2 2 4 2" xfId="1135" xr:uid="{00000000-0005-0000-0000-000065040000}"/>
    <cellStyle name="千分位 17 2 2 2 5" xfId="1136" xr:uid="{00000000-0005-0000-0000-000066040000}"/>
    <cellStyle name="千分位 17 2 2 3" xfId="1137" xr:uid="{00000000-0005-0000-0000-000067040000}"/>
    <cellStyle name="千分位 17 2 2 3 2" xfId="1138" xr:uid="{00000000-0005-0000-0000-000068040000}"/>
    <cellStyle name="千分位 17 2 2 3 2 2" xfId="1139" xr:uid="{00000000-0005-0000-0000-000069040000}"/>
    <cellStyle name="千分位 17 2 2 3 2 2 2" xfId="1140" xr:uid="{00000000-0005-0000-0000-00006A040000}"/>
    <cellStyle name="千分位 17 2 2 3 2 3" xfId="1141" xr:uid="{00000000-0005-0000-0000-00006B040000}"/>
    <cellStyle name="千分位 17 2 2 3 3" xfId="1142" xr:uid="{00000000-0005-0000-0000-00006C040000}"/>
    <cellStyle name="千分位 17 2 2 3 3 2" xfId="1143" xr:uid="{00000000-0005-0000-0000-00006D040000}"/>
    <cellStyle name="千分位 17 2 2 3 4" xfId="1144" xr:uid="{00000000-0005-0000-0000-00006E040000}"/>
    <cellStyle name="千分位 17 2 2 4" xfId="1145" xr:uid="{00000000-0005-0000-0000-00006F040000}"/>
    <cellStyle name="千分位 17 2 2 4 2" xfId="1146" xr:uid="{00000000-0005-0000-0000-000070040000}"/>
    <cellStyle name="千分位 17 2 2 4 2 2" xfId="1147" xr:uid="{00000000-0005-0000-0000-000071040000}"/>
    <cellStyle name="千分位 17 2 2 4 3" xfId="1148" xr:uid="{00000000-0005-0000-0000-000072040000}"/>
    <cellStyle name="千分位 17 2 2 5" xfId="1149" xr:uid="{00000000-0005-0000-0000-000073040000}"/>
    <cellStyle name="千分位 17 2 2 5 2" xfId="1150" xr:uid="{00000000-0005-0000-0000-000074040000}"/>
    <cellStyle name="千分位 17 2 2 6" xfId="1151" xr:uid="{00000000-0005-0000-0000-000075040000}"/>
    <cellStyle name="千分位 17 2 3" xfId="1152" xr:uid="{00000000-0005-0000-0000-000076040000}"/>
    <cellStyle name="千分位 17 2 3 2" xfId="1153" xr:uid="{00000000-0005-0000-0000-000077040000}"/>
    <cellStyle name="千分位 17 2 3 2 2" xfId="1154" xr:uid="{00000000-0005-0000-0000-000078040000}"/>
    <cellStyle name="千分位 17 2 3 2 2 2" xfId="1155" xr:uid="{00000000-0005-0000-0000-000079040000}"/>
    <cellStyle name="千分位 17 2 3 2 2 2 2" xfId="1156" xr:uid="{00000000-0005-0000-0000-00007A040000}"/>
    <cellStyle name="千分位 17 2 3 2 2 3" xfId="1157" xr:uid="{00000000-0005-0000-0000-00007B040000}"/>
    <cellStyle name="千分位 17 2 3 2 3" xfId="1158" xr:uid="{00000000-0005-0000-0000-00007C040000}"/>
    <cellStyle name="千分位 17 2 3 2 3 2" xfId="1159" xr:uid="{00000000-0005-0000-0000-00007D040000}"/>
    <cellStyle name="千分位 17 2 3 2 4" xfId="1160" xr:uid="{00000000-0005-0000-0000-00007E040000}"/>
    <cellStyle name="千分位 17 2 3 3" xfId="1161" xr:uid="{00000000-0005-0000-0000-00007F040000}"/>
    <cellStyle name="千分位 17 2 3 3 2" xfId="1162" xr:uid="{00000000-0005-0000-0000-000080040000}"/>
    <cellStyle name="千分位 17 2 3 3 2 2" xfId="1163" xr:uid="{00000000-0005-0000-0000-000081040000}"/>
    <cellStyle name="千分位 17 2 3 3 3" xfId="1164" xr:uid="{00000000-0005-0000-0000-000082040000}"/>
    <cellStyle name="千分位 17 2 3 4" xfId="1165" xr:uid="{00000000-0005-0000-0000-000083040000}"/>
    <cellStyle name="千分位 17 2 3 4 2" xfId="1166" xr:uid="{00000000-0005-0000-0000-000084040000}"/>
    <cellStyle name="千分位 17 2 3 5" xfId="1167" xr:uid="{00000000-0005-0000-0000-000085040000}"/>
    <cellStyle name="千分位 17 2 4" xfId="1168" xr:uid="{00000000-0005-0000-0000-000086040000}"/>
    <cellStyle name="千分位 17 2 4 2" xfId="1169" xr:uid="{00000000-0005-0000-0000-000087040000}"/>
    <cellStyle name="千分位 17 2 4 2 2" xfId="1170" xr:uid="{00000000-0005-0000-0000-000088040000}"/>
    <cellStyle name="千分位 17 2 4 2 2 2" xfId="1171" xr:uid="{00000000-0005-0000-0000-000089040000}"/>
    <cellStyle name="千分位 17 2 4 2 3" xfId="1172" xr:uid="{00000000-0005-0000-0000-00008A040000}"/>
    <cellStyle name="千分位 17 2 4 3" xfId="1173" xr:uid="{00000000-0005-0000-0000-00008B040000}"/>
    <cellStyle name="千分位 17 2 4 3 2" xfId="1174" xr:uid="{00000000-0005-0000-0000-00008C040000}"/>
    <cellStyle name="千分位 17 2 4 4" xfId="1175" xr:uid="{00000000-0005-0000-0000-00008D040000}"/>
    <cellStyle name="千分位 17 2 5" xfId="1176" xr:uid="{00000000-0005-0000-0000-00008E040000}"/>
    <cellStyle name="千分位 17 2 5 2" xfId="1177" xr:uid="{00000000-0005-0000-0000-00008F040000}"/>
    <cellStyle name="千分位 17 2 5 2 2" xfId="1178" xr:uid="{00000000-0005-0000-0000-000090040000}"/>
    <cellStyle name="千分位 17 2 5 3" xfId="1179" xr:uid="{00000000-0005-0000-0000-000091040000}"/>
    <cellStyle name="千分位 17 2 6" xfId="1180" xr:uid="{00000000-0005-0000-0000-000092040000}"/>
    <cellStyle name="千分位 17 2 6 2" xfId="1181" xr:uid="{00000000-0005-0000-0000-000093040000}"/>
    <cellStyle name="千分位 17 2 7" xfId="1182" xr:uid="{00000000-0005-0000-0000-000094040000}"/>
    <cellStyle name="千分位 17 3" xfId="1183" xr:uid="{00000000-0005-0000-0000-000095040000}"/>
    <cellStyle name="千分位 17 3 2" xfId="1184" xr:uid="{00000000-0005-0000-0000-000096040000}"/>
    <cellStyle name="千分位 17 3 2 2" xfId="1185" xr:uid="{00000000-0005-0000-0000-000097040000}"/>
    <cellStyle name="千分位 17 3 2 2 2" xfId="1186" xr:uid="{00000000-0005-0000-0000-000098040000}"/>
    <cellStyle name="千分位 17 3 2 2 2 2" xfId="1187" xr:uid="{00000000-0005-0000-0000-000099040000}"/>
    <cellStyle name="千分位 17 3 2 2 2 2 2" xfId="1188" xr:uid="{00000000-0005-0000-0000-00009A040000}"/>
    <cellStyle name="千分位 17 3 2 2 2 3" xfId="1189" xr:uid="{00000000-0005-0000-0000-00009B040000}"/>
    <cellStyle name="千分位 17 3 2 2 3" xfId="1190" xr:uid="{00000000-0005-0000-0000-00009C040000}"/>
    <cellStyle name="千分位 17 3 2 2 3 2" xfId="1191" xr:uid="{00000000-0005-0000-0000-00009D040000}"/>
    <cellStyle name="千分位 17 3 2 2 4" xfId="1192" xr:uid="{00000000-0005-0000-0000-00009E040000}"/>
    <cellStyle name="千分位 17 3 2 3" xfId="1193" xr:uid="{00000000-0005-0000-0000-00009F040000}"/>
    <cellStyle name="千分位 17 3 2 3 2" xfId="1194" xr:uid="{00000000-0005-0000-0000-0000A0040000}"/>
    <cellStyle name="千分位 17 3 2 3 2 2" xfId="1195" xr:uid="{00000000-0005-0000-0000-0000A1040000}"/>
    <cellStyle name="千分位 17 3 2 3 3" xfId="1196" xr:uid="{00000000-0005-0000-0000-0000A2040000}"/>
    <cellStyle name="千分位 17 3 2 4" xfId="1197" xr:uid="{00000000-0005-0000-0000-0000A3040000}"/>
    <cellStyle name="千分位 17 3 2 4 2" xfId="1198" xr:uid="{00000000-0005-0000-0000-0000A4040000}"/>
    <cellStyle name="千分位 17 3 2 5" xfId="1199" xr:uid="{00000000-0005-0000-0000-0000A5040000}"/>
    <cellStyle name="千分位 17 3 3" xfId="1200" xr:uid="{00000000-0005-0000-0000-0000A6040000}"/>
    <cellStyle name="千分位 17 3 3 2" xfId="1201" xr:uid="{00000000-0005-0000-0000-0000A7040000}"/>
    <cellStyle name="千分位 17 3 3 2 2" xfId="1202" xr:uid="{00000000-0005-0000-0000-0000A8040000}"/>
    <cellStyle name="千分位 17 3 3 2 2 2" xfId="1203" xr:uid="{00000000-0005-0000-0000-0000A9040000}"/>
    <cellStyle name="千分位 17 3 3 2 3" xfId="1204" xr:uid="{00000000-0005-0000-0000-0000AA040000}"/>
    <cellStyle name="千分位 17 3 3 3" xfId="1205" xr:uid="{00000000-0005-0000-0000-0000AB040000}"/>
    <cellStyle name="千分位 17 3 3 3 2" xfId="1206" xr:uid="{00000000-0005-0000-0000-0000AC040000}"/>
    <cellStyle name="千分位 17 3 3 4" xfId="1207" xr:uid="{00000000-0005-0000-0000-0000AD040000}"/>
    <cellStyle name="千分位 17 3 4" xfId="1208" xr:uid="{00000000-0005-0000-0000-0000AE040000}"/>
    <cellStyle name="千分位 17 3 4 2" xfId="1209" xr:uid="{00000000-0005-0000-0000-0000AF040000}"/>
    <cellStyle name="千分位 17 3 4 2 2" xfId="1210" xr:uid="{00000000-0005-0000-0000-0000B0040000}"/>
    <cellStyle name="千分位 17 3 4 3" xfId="1211" xr:uid="{00000000-0005-0000-0000-0000B1040000}"/>
    <cellStyle name="千分位 17 3 5" xfId="1212" xr:uid="{00000000-0005-0000-0000-0000B2040000}"/>
    <cellStyle name="千分位 17 3 5 2" xfId="1213" xr:uid="{00000000-0005-0000-0000-0000B3040000}"/>
    <cellStyle name="千分位 17 3 6" xfId="1214" xr:uid="{00000000-0005-0000-0000-0000B4040000}"/>
    <cellStyle name="千分位 17 4" xfId="1215" xr:uid="{00000000-0005-0000-0000-0000B5040000}"/>
    <cellStyle name="千分位 17 4 2" xfId="1216" xr:uid="{00000000-0005-0000-0000-0000B6040000}"/>
    <cellStyle name="千分位 17 4 2 2" xfId="1217" xr:uid="{00000000-0005-0000-0000-0000B7040000}"/>
    <cellStyle name="千分位 17 4 2 2 2" xfId="1218" xr:uid="{00000000-0005-0000-0000-0000B8040000}"/>
    <cellStyle name="千分位 17 4 2 2 2 2" xfId="1219" xr:uid="{00000000-0005-0000-0000-0000B9040000}"/>
    <cellStyle name="千分位 17 4 2 2 3" xfId="1220" xr:uid="{00000000-0005-0000-0000-0000BA040000}"/>
    <cellStyle name="千分位 17 4 2 3" xfId="1221" xr:uid="{00000000-0005-0000-0000-0000BB040000}"/>
    <cellStyle name="千分位 17 4 2 3 2" xfId="1222" xr:uid="{00000000-0005-0000-0000-0000BC040000}"/>
    <cellStyle name="千分位 17 4 2 4" xfId="1223" xr:uid="{00000000-0005-0000-0000-0000BD040000}"/>
    <cellStyle name="千分位 17 4 3" xfId="1224" xr:uid="{00000000-0005-0000-0000-0000BE040000}"/>
    <cellStyle name="千分位 17 4 3 2" xfId="1225" xr:uid="{00000000-0005-0000-0000-0000BF040000}"/>
    <cellStyle name="千分位 17 4 3 2 2" xfId="1226" xr:uid="{00000000-0005-0000-0000-0000C0040000}"/>
    <cellStyle name="千分位 17 4 3 3" xfId="1227" xr:uid="{00000000-0005-0000-0000-0000C1040000}"/>
    <cellStyle name="千分位 17 4 4" xfId="1228" xr:uid="{00000000-0005-0000-0000-0000C2040000}"/>
    <cellStyle name="千分位 17 4 4 2" xfId="1229" xr:uid="{00000000-0005-0000-0000-0000C3040000}"/>
    <cellStyle name="千分位 17 4 5" xfId="1230" xr:uid="{00000000-0005-0000-0000-0000C4040000}"/>
    <cellStyle name="千分位 17 5" xfId="1231" xr:uid="{00000000-0005-0000-0000-0000C5040000}"/>
    <cellStyle name="千分位 17 5 2" xfId="1232" xr:uid="{00000000-0005-0000-0000-0000C6040000}"/>
    <cellStyle name="千分位 17 5 2 2" xfId="1233" xr:uid="{00000000-0005-0000-0000-0000C7040000}"/>
    <cellStyle name="千分位 17 5 2 2 2" xfId="1234" xr:uid="{00000000-0005-0000-0000-0000C8040000}"/>
    <cellStyle name="千分位 17 5 2 3" xfId="1235" xr:uid="{00000000-0005-0000-0000-0000C9040000}"/>
    <cellStyle name="千分位 17 5 3" xfId="1236" xr:uid="{00000000-0005-0000-0000-0000CA040000}"/>
    <cellStyle name="千分位 17 5 3 2" xfId="1237" xr:uid="{00000000-0005-0000-0000-0000CB040000}"/>
    <cellStyle name="千分位 17 5 4" xfId="1238" xr:uid="{00000000-0005-0000-0000-0000CC040000}"/>
    <cellStyle name="千分位 17 6" xfId="1239" xr:uid="{00000000-0005-0000-0000-0000CD040000}"/>
    <cellStyle name="千分位 17 6 2" xfId="1240" xr:uid="{00000000-0005-0000-0000-0000CE040000}"/>
    <cellStyle name="千分位 17 6 2 2" xfId="1241" xr:uid="{00000000-0005-0000-0000-0000CF040000}"/>
    <cellStyle name="千分位 17 6 3" xfId="1242" xr:uid="{00000000-0005-0000-0000-0000D0040000}"/>
    <cellStyle name="千分位 17 7" xfId="1243" xr:uid="{00000000-0005-0000-0000-0000D1040000}"/>
    <cellStyle name="千分位 17 7 2" xfId="1244" xr:uid="{00000000-0005-0000-0000-0000D2040000}"/>
    <cellStyle name="千分位 17 8" xfId="1245" xr:uid="{00000000-0005-0000-0000-0000D3040000}"/>
    <cellStyle name="千分位 18" xfId="1246" xr:uid="{00000000-0005-0000-0000-0000D4040000}"/>
    <cellStyle name="千分位 18 2" xfId="1247" xr:uid="{00000000-0005-0000-0000-0000D5040000}"/>
    <cellStyle name="千分位 18 2 2" xfId="1248" xr:uid="{00000000-0005-0000-0000-0000D6040000}"/>
    <cellStyle name="千分位 18 2 2 2" xfId="1249" xr:uid="{00000000-0005-0000-0000-0000D7040000}"/>
    <cellStyle name="千分位 18 2 2 2 2" xfId="1250" xr:uid="{00000000-0005-0000-0000-0000D8040000}"/>
    <cellStyle name="千分位 18 2 2 2 2 2" xfId="1251" xr:uid="{00000000-0005-0000-0000-0000D9040000}"/>
    <cellStyle name="千分位 18 2 2 2 2 2 2" xfId="1252" xr:uid="{00000000-0005-0000-0000-0000DA040000}"/>
    <cellStyle name="千分位 18 2 2 2 2 2 2 2" xfId="1253" xr:uid="{00000000-0005-0000-0000-0000DB040000}"/>
    <cellStyle name="千分位 18 2 2 2 2 2 3" xfId="1254" xr:uid="{00000000-0005-0000-0000-0000DC040000}"/>
    <cellStyle name="千分位 18 2 2 2 2 3" xfId="1255" xr:uid="{00000000-0005-0000-0000-0000DD040000}"/>
    <cellStyle name="千分位 18 2 2 2 2 3 2" xfId="1256" xr:uid="{00000000-0005-0000-0000-0000DE040000}"/>
    <cellStyle name="千分位 18 2 2 2 2 4" xfId="1257" xr:uid="{00000000-0005-0000-0000-0000DF040000}"/>
    <cellStyle name="千分位 18 2 2 2 3" xfId="1258" xr:uid="{00000000-0005-0000-0000-0000E0040000}"/>
    <cellStyle name="千分位 18 2 2 2 3 2" xfId="1259" xr:uid="{00000000-0005-0000-0000-0000E1040000}"/>
    <cellStyle name="千分位 18 2 2 2 3 2 2" xfId="1260" xr:uid="{00000000-0005-0000-0000-0000E2040000}"/>
    <cellStyle name="千分位 18 2 2 2 3 3" xfId="1261" xr:uid="{00000000-0005-0000-0000-0000E3040000}"/>
    <cellStyle name="千分位 18 2 2 2 4" xfId="1262" xr:uid="{00000000-0005-0000-0000-0000E4040000}"/>
    <cellStyle name="千分位 18 2 2 2 4 2" xfId="1263" xr:uid="{00000000-0005-0000-0000-0000E5040000}"/>
    <cellStyle name="千分位 18 2 2 2 5" xfId="1264" xr:uid="{00000000-0005-0000-0000-0000E6040000}"/>
    <cellStyle name="千分位 18 2 2 3" xfId="1265" xr:uid="{00000000-0005-0000-0000-0000E7040000}"/>
    <cellStyle name="千分位 18 2 2 3 2" xfId="1266" xr:uid="{00000000-0005-0000-0000-0000E8040000}"/>
    <cellStyle name="千分位 18 2 2 3 2 2" xfId="1267" xr:uid="{00000000-0005-0000-0000-0000E9040000}"/>
    <cellStyle name="千分位 18 2 2 3 2 2 2" xfId="1268" xr:uid="{00000000-0005-0000-0000-0000EA040000}"/>
    <cellStyle name="千分位 18 2 2 3 2 3" xfId="1269" xr:uid="{00000000-0005-0000-0000-0000EB040000}"/>
    <cellStyle name="千分位 18 2 2 3 3" xfId="1270" xr:uid="{00000000-0005-0000-0000-0000EC040000}"/>
    <cellStyle name="千分位 18 2 2 3 3 2" xfId="1271" xr:uid="{00000000-0005-0000-0000-0000ED040000}"/>
    <cellStyle name="千分位 18 2 2 3 4" xfId="1272" xr:uid="{00000000-0005-0000-0000-0000EE040000}"/>
    <cellStyle name="千分位 18 2 2 4" xfId="1273" xr:uid="{00000000-0005-0000-0000-0000EF040000}"/>
    <cellStyle name="千分位 18 2 2 4 2" xfId="1274" xr:uid="{00000000-0005-0000-0000-0000F0040000}"/>
    <cellStyle name="千分位 18 2 2 4 2 2" xfId="1275" xr:uid="{00000000-0005-0000-0000-0000F1040000}"/>
    <cellStyle name="千分位 18 2 2 4 3" xfId="1276" xr:uid="{00000000-0005-0000-0000-0000F2040000}"/>
    <cellStyle name="千分位 18 2 2 5" xfId="1277" xr:uid="{00000000-0005-0000-0000-0000F3040000}"/>
    <cellStyle name="千分位 18 2 2 5 2" xfId="1278" xr:uid="{00000000-0005-0000-0000-0000F4040000}"/>
    <cellStyle name="千分位 18 2 2 6" xfId="1279" xr:uid="{00000000-0005-0000-0000-0000F5040000}"/>
    <cellStyle name="千分位 18 2 3" xfId="1280" xr:uid="{00000000-0005-0000-0000-0000F6040000}"/>
    <cellStyle name="千分位 18 2 3 2" xfId="1281" xr:uid="{00000000-0005-0000-0000-0000F7040000}"/>
    <cellStyle name="千分位 18 2 3 2 2" xfId="1282" xr:uid="{00000000-0005-0000-0000-0000F8040000}"/>
    <cellStyle name="千分位 18 2 3 2 2 2" xfId="1283" xr:uid="{00000000-0005-0000-0000-0000F9040000}"/>
    <cellStyle name="千分位 18 2 3 2 2 2 2" xfId="1284" xr:uid="{00000000-0005-0000-0000-0000FA040000}"/>
    <cellStyle name="千分位 18 2 3 2 2 3" xfId="1285" xr:uid="{00000000-0005-0000-0000-0000FB040000}"/>
    <cellStyle name="千分位 18 2 3 2 3" xfId="1286" xr:uid="{00000000-0005-0000-0000-0000FC040000}"/>
    <cellStyle name="千分位 18 2 3 2 3 2" xfId="1287" xr:uid="{00000000-0005-0000-0000-0000FD040000}"/>
    <cellStyle name="千分位 18 2 3 2 4" xfId="1288" xr:uid="{00000000-0005-0000-0000-0000FE040000}"/>
    <cellStyle name="千分位 18 2 3 3" xfId="1289" xr:uid="{00000000-0005-0000-0000-0000FF040000}"/>
    <cellStyle name="千分位 18 2 3 3 2" xfId="1290" xr:uid="{00000000-0005-0000-0000-000000050000}"/>
    <cellStyle name="千分位 18 2 3 3 2 2" xfId="1291" xr:uid="{00000000-0005-0000-0000-000001050000}"/>
    <cellStyle name="千分位 18 2 3 3 3" xfId="1292" xr:uid="{00000000-0005-0000-0000-000002050000}"/>
    <cellStyle name="千分位 18 2 3 4" xfId="1293" xr:uid="{00000000-0005-0000-0000-000003050000}"/>
    <cellStyle name="千分位 18 2 3 4 2" xfId="1294" xr:uid="{00000000-0005-0000-0000-000004050000}"/>
    <cellStyle name="千分位 18 2 3 5" xfId="1295" xr:uid="{00000000-0005-0000-0000-000005050000}"/>
    <cellStyle name="千分位 18 2 4" xfId="1296" xr:uid="{00000000-0005-0000-0000-000006050000}"/>
    <cellStyle name="千分位 18 2 4 2" xfId="1297" xr:uid="{00000000-0005-0000-0000-000007050000}"/>
    <cellStyle name="千分位 18 2 4 2 2" xfId="1298" xr:uid="{00000000-0005-0000-0000-000008050000}"/>
    <cellStyle name="千分位 18 2 4 2 2 2" xfId="1299" xr:uid="{00000000-0005-0000-0000-000009050000}"/>
    <cellStyle name="千分位 18 2 4 2 3" xfId="1300" xr:uid="{00000000-0005-0000-0000-00000A050000}"/>
    <cellStyle name="千分位 18 2 4 3" xfId="1301" xr:uid="{00000000-0005-0000-0000-00000B050000}"/>
    <cellStyle name="千分位 18 2 4 3 2" xfId="1302" xr:uid="{00000000-0005-0000-0000-00000C050000}"/>
    <cellStyle name="千分位 18 2 4 4" xfId="1303" xr:uid="{00000000-0005-0000-0000-00000D050000}"/>
    <cellStyle name="千分位 18 2 5" xfId="1304" xr:uid="{00000000-0005-0000-0000-00000E050000}"/>
    <cellStyle name="千分位 18 2 5 2" xfId="1305" xr:uid="{00000000-0005-0000-0000-00000F050000}"/>
    <cellStyle name="千分位 18 2 5 2 2" xfId="1306" xr:uid="{00000000-0005-0000-0000-000010050000}"/>
    <cellStyle name="千分位 18 2 5 3" xfId="1307" xr:uid="{00000000-0005-0000-0000-000011050000}"/>
    <cellStyle name="千分位 18 2 6" xfId="1308" xr:uid="{00000000-0005-0000-0000-000012050000}"/>
    <cellStyle name="千分位 18 2 6 2" xfId="1309" xr:uid="{00000000-0005-0000-0000-000013050000}"/>
    <cellStyle name="千分位 18 2 7" xfId="1310" xr:uid="{00000000-0005-0000-0000-000014050000}"/>
    <cellStyle name="千分位 18 3" xfId="1311" xr:uid="{00000000-0005-0000-0000-000015050000}"/>
    <cellStyle name="千分位 18 3 2" xfId="1312" xr:uid="{00000000-0005-0000-0000-000016050000}"/>
    <cellStyle name="千分位 18 3 2 2" xfId="1313" xr:uid="{00000000-0005-0000-0000-000017050000}"/>
    <cellStyle name="千分位 18 3 2 2 2" xfId="1314" xr:uid="{00000000-0005-0000-0000-000018050000}"/>
    <cellStyle name="千分位 18 3 2 2 2 2" xfId="1315" xr:uid="{00000000-0005-0000-0000-000019050000}"/>
    <cellStyle name="千分位 18 3 2 2 2 2 2" xfId="1316" xr:uid="{00000000-0005-0000-0000-00001A050000}"/>
    <cellStyle name="千分位 18 3 2 2 2 3" xfId="1317" xr:uid="{00000000-0005-0000-0000-00001B050000}"/>
    <cellStyle name="千分位 18 3 2 2 3" xfId="1318" xr:uid="{00000000-0005-0000-0000-00001C050000}"/>
    <cellStyle name="千分位 18 3 2 2 3 2" xfId="1319" xr:uid="{00000000-0005-0000-0000-00001D050000}"/>
    <cellStyle name="千分位 18 3 2 2 4" xfId="1320" xr:uid="{00000000-0005-0000-0000-00001E050000}"/>
    <cellStyle name="千分位 18 3 2 3" xfId="1321" xr:uid="{00000000-0005-0000-0000-00001F050000}"/>
    <cellStyle name="千分位 18 3 2 3 2" xfId="1322" xr:uid="{00000000-0005-0000-0000-000020050000}"/>
    <cellStyle name="千分位 18 3 2 3 2 2" xfId="1323" xr:uid="{00000000-0005-0000-0000-000021050000}"/>
    <cellStyle name="千分位 18 3 2 3 3" xfId="1324" xr:uid="{00000000-0005-0000-0000-000022050000}"/>
    <cellStyle name="千分位 18 3 2 4" xfId="1325" xr:uid="{00000000-0005-0000-0000-000023050000}"/>
    <cellStyle name="千分位 18 3 2 4 2" xfId="1326" xr:uid="{00000000-0005-0000-0000-000024050000}"/>
    <cellStyle name="千分位 18 3 2 5" xfId="1327" xr:uid="{00000000-0005-0000-0000-000025050000}"/>
    <cellStyle name="千分位 18 3 3" xfId="1328" xr:uid="{00000000-0005-0000-0000-000026050000}"/>
    <cellStyle name="千分位 18 3 3 2" xfId="1329" xr:uid="{00000000-0005-0000-0000-000027050000}"/>
    <cellStyle name="千分位 18 3 3 2 2" xfId="1330" xr:uid="{00000000-0005-0000-0000-000028050000}"/>
    <cellStyle name="千分位 18 3 3 2 2 2" xfId="1331" xr:uid="{00000000-0005-0000-0000-000029050000}"/>
    <cellStyle name="千分位 18 3 3 2 3" xfId="1332" xr:uid="{00000000-0005-0000-0000-00002A050000}"/>
    <cellStyle name="千分位 18 3 3 3" xfId="1333" xr:uid="{00000000-0005-0000-0000-00002B050000}"/>
    <cellStyle name="千分位 18 3 3 3 2" xfId="1334" xr:uid="{00000000-0005-0000-0000-00002C050000}"/>
    <cellStyle name="千分位 18 3 3 4" xfId="1335" xr:uid="{00000000-0005-0000-0000-00002D050000}"/>
    <cellStyle name="千分位 18 3 4" xfId="1336" xr:uid="{00000000-0005-0000-0000-00002E050000}"/>
    <cellStyle name="千分位 18 3 4 2" xfId="1337" xr:uid="{00000000-0005-0000-0000-00002F050000}"/>
    <cellStyle name="千分位 18 3 4 2 2" xfId="1338" xr:uid="{00000000-0005-0000-0000-000030050000}"/>
    <cellStyle name="千分位 18 3 4 3" xfId="1339" xr:uid="{00000000-0005-0000-0000-000031050000}"/>
    <cellStyle name="千分位 18 3 5" xfId="1340" xr:uid="{00000000-0005-0000-0000-000032050000}"/>
    <cellStyle name="千分位 18 3 5 2" xfId="1341" xr:uid="{00000000-0005-0000-0000-000033050000}"/>
    <cellStyle name="千分位 18 3 6" xfId="1342" xr:uid="{00000000-0005-0000-0000-000034050000}"/>
    <cellStyle name="千分位 18 4" xfId="1343" xr:uid="{00000000-0005-0000-0000-000035050000}"/>
    <cellStyle name="千分位 18 4 2" xfId="1344" xr:uid="{00000000-0005-0000-0000-000036050000}"/>
    <cellStyle name="千分位 18 4 2 2" xfId="1345" xr:uid="{00000000-0005-0000-0000-000037050000}"/>
    <cellStyle name="千分位 18 4 2 2 2" xfId="1346" xr:uid="{00000000-0005-0000-0000-000038050000}"/>
    <cellStyle name="千分位 18 4 2 2 2 2" xfId="1347" xr:uid="{00000000-0005-0000-0000-000039050000}"/>
    <cellStyle name="千分位 18 4 2 2 3" xfId="1348" xr:uid="{00000000-0005-0000-0000-00003A050000}"/>
    <cellStyle name="千分位 18 4 2 3" xfId="1349" xr:uid="{00000000-0005-0000-0000-00003B050000}"/>
    <cellStyle name="千分位 18 4 2 3 2" xfId="1350" xr:uid="{00000000-0005-0000-0000-00003C050000}"/>
    <cellStyle name="千分位 18 4 2 4" xfId="1351" xr:uid="{00000000-0005-0000-0000-00003D050000}"/>
    <cellStyle name="千分位 18 4 3" xfId="1352" xr:uid="{00000000-0005-0000-0000-00003E050000}"/>
    <cellStyle name="千分位 18 4 3 2" xfId="1353" xr:uid="{00000000-0005-0000-0000-00003F050000}"/>
    <cellStyle name="千分位 18 4 3 2 2" xfId="1354" xr:uid="{00000000-0005-0000-0000-000040050000}"/>
    <cellStyle name="千分位 18 4 3 3" xfId="1355" xr:uid="{00000000-0005-0000-0000-000041050000}"/>
    <cellStyle name="千分位 18 4 4" xfId="1356" xr:uid="{00000000-0005-0000-0000-000042050000}"/>
    <cellStyle name="千分位 18 4 4 2" xfId="1357" xr:uid="{00000000-0005-0000-0000-000043050000}"/>
    <cellStyle name="千分位 18 4 5" xfId="1358" xr:uid="{00000000-0005-0000-0000-000044050000}"/>
    <cellStyle name="千分位 18 5" xfId="1359" xr:uid="{00000000-0005-0000-0000-000045050000}"/>
    <cellStyle name="千分位 18 5 2" xfId="1360" xr:uid="{00000000-0005-0000-0000-000046050000}"/>
    <cellStyle name="千分位 18 5 2 2" xfId="1361" xr:uid="{00000000-0005-0000-0000-000047050000}"/>
    <cellStyle name="千分位 18 5 2 2 2" xfId="1362" xr:uid="{00000000-0005-0000-0000-000048050000}"/>
    <cellStyle name="千分位 18 5 2 3" xfId="1363" xr:uid="{00000000-0005-0000-0000-000049050000}"/>
    <cellStyle name="千分位 18 5 3" xfId="1364" xr:uid="{00000000-0005-0000-0000-00004A050000}"/>
    <cellStyle name="千分位 18 5 3 2" xfId="1365" xr:uid="{00000000-0005-0000-0000-00004B050000}"/>
    <cellStyle name="千分位 18 5 4" xfId="1366" xr:uid="{00000000-0005-0000-0000-00004C050000}"/>
    <cellStyle name="千分位 18 6" xfId="1367" xr:uid="{00000000-0005-0000-0000-00004D050000}"/>
    <cellStyle name="千分位 18 6 2" xfId="1368" xr:uid="{00000000-0005-0000-0000-00004E050000}"/>
    <cellStyle name="千分位 18 6 2 2" xfId="1369" xr:uid="{00000000-0005-0000-0000-00004F050000}"/>
    <cellStyle name="千分位 18 6 3" xfId="1370" xr:uid="{00000000-0005-0000-0000-000050050000}"/>
    <cellStyle name="千分位 18 7" xfId="1371" xr:uid="{00000000-0005-0000-0000-000051050000}"/>
    <cellStyle name="千分位 18 7 2" xfId="1372" xr:uid="{00000000-0005-0000-0000-000052050000}"/>
    <cellStyle name="千分位 18 8" xfId="1373" xr:uid="{00000000-0005-0000-0000-000053050000}"/>
    <cellStyle name="千分位 19" xfId="9" xr:uid="{00000000-0005-0000-0000-000054050000}"/>
    <cellStyle name="千分位 19 2" xfId="1375" xr:uid="{00000000-0005-0000-0000-000055050000}"/>
    <cellStyle name="千分位 19 2 2" xfId="1376" xr:uid="{00000000-0005-0000-0000-000056050000}"/>
    <cellStyle name="千分位 19 2 2 2" xfId="1377" xr:uid="{00000000-0005-0000-0000-000057050000}"/>
    <cellStyle name="千分位 19 2 2 2 2" xfId="1378" xr:uid="{00000000-0005-0000-0000-000058050000}"/>
    <cellStyle name="千分位 19 2 2 2 2 2" xfId="1379" xr:uid="{00000000-0005-0000-0000-000059050000}"/>
    <cellStyle name="千分位 19 2 2 2 2 2 2" xfId="1380" xr:uid="{00000000-0005-0000-0000-00005A050000}"/>
    <cellStyle name="千分位 19 2 2 2 2 2 2 2" xfId="1381" xr:uid="{00000000-0005-0000-0000-00005B050000}"/>
    <cellStyle name="千分位 19 2 2 2 2 2 3" xfId="1382" xr:uid="{00000000-0005-0000-0000-00005C050000}"/>
    <cellStyle name="千分位 19 2 2 2 2 3" xfId="1383" xr:uid="{00000000-0005-0000-0000-00005D050000}"/>
    <cellStyle name="千分位 19 2 2 2 2 3 2" xfId="1384" xr:uid="{00000000-0005-0000-0000-00005E050000}"/>
    <cellStyle name="千分位 19 2 2 2 2 4" xfId="1385" xr:uid="{00000000-0005-0000-0000-00005F050000}"/>
    <cellStyle name="千分位 19 2 2 2 3" xfId="1386" xr:uid="{00000000-0005-0000-0000-000060050000}"/>
    <cellStyle name="千分位 19 2 2 2 3 2" xfId="1387" xr:uid="{00000000-0005-0000-0000-000061050000}"/>
    <cellStyle name="千分位 19 2 2 2 3 2 2" xfId="1388" xr:uid="{00000000-0005-0000-0000-000062050000}"/>
    <cellStyle name="千分位 19 2 2 2 3 3" xfId="1389" xr:uid="{00000000-0005-0000-0000-000063050000}"/>
    <cellStyle name="千分位 19 2 2 2 4" xfId="1390" xr:uid="{00000000-0005-0000-0000-000064050000}"/>
    <cellStyle name="千分位 19 2 2 2 4 2" xfId="1391" xr:uid="{00000000-0005-0000-0000-000065050000}"/>
    <cellStyle name="千分位 19 2 2 2 5" xfId="1392" xr:uid="{00000000-0005-0000-0000-000066050000}"/>
    <cellStyle name="千分位 19 2 2 3" xfId="1393" xr:uid="{00000000-0005-0000-0000-000067050000}"/>
    <cellStyle name="千分位 19 2 2 3 2" xfId="1394" xr:uid="{00000000-0005-0000-0000-000068050000}"/>
    <cellStyle name="千分位 19 2 2 3 2 2" xfId="1395" xr:uid="{00000000-0005-0000-0000-000069050000}"/>
    <cellStyle name="千分位 19 2 2 3 2 2 2" xfId="1396" xr:uid="{00000000-0005-0000-0000-00006A050000}"/>
    <cellStyle name="千分位 19 2 2 3 2 3" xfId="1397" xr:uid="{00000000-0005-0000-0000-00006B050000}"/>
    <cellStyle name="千分位 19 2 2 3 3" xfId="1398" xr:uid="{00000000-0005-0000-0000-00006C050000}"/>
    <cellStyle name="千分位 19 2 2 3 3 2" xfId="1399" xr:uid="{00000000-0005-0000-0000-00006D050000}"/>
    <cellStyle name="千分位 19 2 2 3 4" xfId="1400" xr:uid="{00000000-0005-0000-0000-00006E050000}"/>
    <cellStyle name="千分位 19 2 2 4" xfId="1401" xr:uid="{00000000-0005-0000-0000-00006F050000}"/>
    <cellStyle name="千分位 19 2 2 4 2" xfId="1402" xr:uid="{00000000-0005-0000-0000-000070050000}"/>
    <cellStyle name="千分位 19 2 2 4 2 2" xfId="1403" xr:uid="{00000000-0005-0000-0000-000071050000}"/>
    <cellStyle name="千分位 19 2 2 4 3" xfId="1404" xr:uid="{00000000-0005-0000-0000-000072050000}"/>
    <cellStyle name="千分位 19 2 2 5" xfId="1405" xr:uid="{00000000-0005-0000-0000-000073050000}"/>
    <cellStyle name="千分位 19 2 2 5 2" xfId="1406" xr:uid="{00000000-0005-0000-0000-000074050000}"/>
    <cellStyle name="千分位 19 2 2 6" xfId="1407" xr:uid="{00000000-0005-0000-0000-000075050000}"/>
    <cellStyle name="千分位 19 2 3" xfId="1408" xr:uid="{00000000-0005-0000-0000-000076050000}"/>
    <cellStyle name="千分位 19 2 3 2" xfId="1409" xr:uid="{00000000-0005-0000-0000-000077050000}"/>
    <cellStyle name="千分位 19 2 3 2 2" xfId="1410" xr:uid="{00000000-0005-0000-0000-000078050000}"/>
    <cellStyle name="千分位 19 2 3 2 2 2" xfId="1411" xr:uid="{00000000-0005-0000-0000-000079050000}"/>
    <cellStyle name="千分位 19 2 3 2 2 2 2" xfId="1412" xr:uid="{00000000-0005-0000-0000-00007A050000}"/>
    <cellStyle name="千分位 19 2 3 2 2 3" xfId="1413" xr:uid="{00000000-0005-0000-0000-00007B050000}"/>
    <cellStyle name="千分位 19 2 3 2 3" xfId="1414" xr:uid="{00000000-0005-0000-0000-00007C050000}"/>
    <cellStyle name="千分位 19 2 3 2 3 2" xfId="1415" xr:uid="{00000000-0005-0000-0000-00007D050000}"/>
    <cellStyle name="千分位 19 2 3 2 4" xfId="1416" xr:uid="{00000000-0005-0000-0000-00007E050000}"/>
    <cellStyle name="千分位 19 2 3 3" xfId="1417" xr:uid="{00000000-0005-0000-0000-00007F050000}"/>
    <cellStyle name="千分位 19 2 3 3 2" xfId="1418" xr:uid="{00000000-0005-0000-0000-000080050000}"/>
    <cellStyle name="千分位 19 2 3 3 2 2" xfId="1419" xr:uid="{00000000-0005-0000-0000-000081050000}"/>
    <cellStyle name="千分位 19 2 3 3 3" xfId="1420" xr:uid="{00000000-0005-0000-0000-000082050000}"/>
    <cellStyle name="千分位 19 2 3 4" xfId="1421" xr:uid="{00000000-0005-0000-0000-000083050000}"/>
    <cellStyle name="千分位 19 2 3 4 2" xfId="1422" xr:uid="{00000000-0005-0000-0000-000084050000}"/>
    <cellStyle name="千分位 19 2 3 5" xfId="1423" xr:uid="{00000000-0005-0000-0000-000085050000}"/>
    <cellStyle name="千分位 19 2 4" xfId="1424" xr:uid="{00000000-0005-0000-0000-000086050000}"/>
    <cellStyle name="千分位 19 2 4 2" xfId="1425" xr:uid="{00000000-0005-0000-0000-000087050000}"/>
    <cellStyle name="千分位 19 2 4 2 2" xfId="1426" xr:uid="{00000000-0005-0000-0000-000088050000}"/>
    <cellStyle name="千分位 19 2 4 2 2 2" xfId="1427" xr:uid="{00000000-0005-0000-0000-000089050000}"/>
    <cellStyle name="千分位 19 2 4 2 3" xfId="1428" xr:uid="{00000000-0005-0000-0000-00008A050000}"/>
    <cellStyle name="千分位 19 2 4 3" xfId="1429" xr:uid="{00000000-0005-0000-0000-00008B050000}"/>
    <cellStyle name="千分位 19 2 4 3 2" xfId="1430" xr:uid="{00000000-0005-0000-0000-00008C050000}"/>
    <cellStyle name="千分位 19 2 4 4" xfId="1431" xr:uid="{00000000-0005-0000-0000-00008D050000}"/>
    <cellStyle name="千分位 19 2 5" xfId="1432" xr:uid="{00000000-0005-0000-0000-00008E050000}"/>
    <cellStyle name="千分位 19 2 5 2" xfId="1433" xr:uid="{00000000-0005-0000-0000-00008F050000}"/>
    <cellStyle name="千分位 19 2 5 2 2" xfId="1434" xr:uid="{00000000-0005-0000-0000-000090050000}"/>
    <cellStyle name="千分位 19 2 5 3" xfId="1435" xr:uid="{00000000-0005-0000-0000-000091050000}"/>
    <cellStyle name="千分位 19 2 6" xfId="1436" xr:uid="{00000000-0005-0000-0000-000092050000}"/>
    <cellStyle name="千分位 19 2 6 2" xfId="1437" xr:uid="{00000000-0005-0000-0000-000093050000}"/>
    <cellStyle name="千分位 19 2 7" xfId="1438" xr:uid="{00000000-0005-0000-0000-000094050000}"/>
    <cellStyle name="千分位 19 3" xfId="1439" xr:uid="{00000000-0005-0000-0000-000095050000}"/>
    <cellStyle name="千分位 19 3 2" xfId="1440" xr:uid="{00000000-0005-0000-0000-000096050000}"/>
    <cellStyle name="千分位 19 3 2 2" xfId="1441" xr:uid="{00000000-0005-0000-0000-000097050000}"/>
    <cellStyle name="千分位 19 3 2 2 2" xfId="1442" xr:uid="{00000000-0005-0000-0000-000098050000}"/>
    <cellStyle name="千分位 19 3 2 2 2 2" xfId="1443" xr:uid="{00000000-0005-0000-0000-000099050000}"/>
    <cellStyle name="千分位 19 3 2 2 2 2 2" xfId="1444" xr:uid="{00000000-0005-0000-0000-00009A050000}"/>
    <cellStyle name="千分位 19 3 2 2 2 3" xfId="1445" xr:uid="{00000000-0005-0000-0000-00009B050000}"/>
    <cellStyle name="千分位 19 3 2 2 3" xfId="1446" xr:uid="{00000000-0005-0000-0000-00009C050000}"/>
    <cellStyle name="千分位 19 3 2 2 3 2" xfId="1447" xr:uid="{00000000-0005-0000-0000-00009D050000}"/>
    <cellStyle name="千分位 19 3 2 2 4" xfId="1448" xr:uid="{00000000-0005-0000-0000-00009E050000}"/>
    <cellStyle name="千分位 19 3 2 3" xfId="1449" xr:uid="{00000000-0005-0000-0000-00009F050000}"/>
    <cellStyle name="千分位 19 3 2 3 2" xfId="1450" xr:uid="{00000000-0005-0000-0000-0000A0050000}"/>
    <cellStyle name="千分位 19 3 2 3 2 2" xfId="1451" xr:uid="{00000000-0005-0000-0000-0000A1050000}"/>
    <cellStyle name="千分位 19 3 2 3 3" xfId="1452" xr:uid="{00000000-0005-0000-0000-0000A2050000}"/>
    <cellStyle name="千分位 19 3 2 4" xfId="1453" xr:uid="{00000000-0005-0000-0000-0000A3050000}"/>
    <cellStyle name="千分位 19 3 2 4 2" xfId="1454" xr:uid="{00000000-0005-0000-0000-0000A4050000}"/>
    <cellStyle name="千分位 19 3 2 5" xfId="1455" xr:uid="{00000000-0005-0000-0000-0000A5050000}"/>
    <cellStyle name="千分位 19 3 3" xfId="1456" xr:uid="{00000000-0005-0000-0000-0000A6050000}"/>
    <cellStyle name="千分位 19 3 3 2" xfId="1457" xr:uid="{00000000-0005-0000-0000-0000A7050000}"/>
    <cellStyle name="千分位 19 3 3 2 2" xfId="1458" xr:uid="{00000000-0005-0000-0000-0000A8050000}"/>
    <cellStyle name="千分位 19 3 3 2 2 2" xfId="1459" xr:uid="{00000000-0005-0000-0000-0000A9050000}"/>
    <cellStyle name="千分位 19 3 3 2 3" xfId="1460" xr:uid="{00000000-0005-0000-0000-0000AA050000}"/>
    <cellStyle name="千分位 19 3 3 3" xfId="1461" xr:uid="{00000000-0005-0000-0000-0000AB050000}"/>
    <cellStyle name="千分位 19 3 3 3 2" xfId="1462" xr:uid="{00000000-0005-0000-0000-0000AC050000}"/>
    <cellStyle name="千分位 19 3 3 4" xfId="1463" xr:uid="{00000000-0005-0000-0000-0000AD050000}"/>
    <cellStyle name="千分位 19 3 4" xfId="1464" xr:uid="{00000000-0005-0000-0000-0000AE050000}"/>
    <cellStyle name="千分位 19 3 4 2" xfId="1465" xr:uid="{00000000-0005-0000-0000-0000AF050000}"/>
    <cellStyle name="千分位 19 3 4 2 2" xfId="1466" xr:uid="{00000000-0005-0000-0000-0000B0050000}"/>
    <cellStyle name="千分位 19 3 4 3" xfId="1467" xr:uid="{00000000-0005-0000-0000-0000B1050000}"/>
    <cellStyle name="千分位 19 3 5" xfId="1468" xr:uid="{00000000-0005-0000-0000-0000B2050000}"/>
    <cellStyle name="千分位 19 3 5 2" xfId="1469" xr:uid="{00000000-0005-0000-0000-0000B3050000}"/>
    <cellStyle name="千分位 19 3 6" xfId="1470" xr:uid="{00000000-0005-0000-0000-0000B4050000}"/>
    <cellStyle name="千分位 19 4" xfId="1471" xr:uid="{00000000-0005-0000-0000-0000B5050000}"/>
    <cellStyle name="千分位 19 4 2" xfId="1472" xr:uid="{00000000-0005-0000-0000-0000B6050000}"/>
    <cellStyle name="千分位 19 4 2 2" xfId="1473" xr:uid="{00000000-0005-0000-0000-0000B7050000}"/>
    <cellStyle name="千分位 19 4 2 2 2" xfId="1474" xr:uid="{00000000-0005-0000-0000-0000B8050000}"/>
    <cellStyle name="千分位 19 4 2 2 2 2" xfId="1475" xr:uid="{00000000-0005-0000-0000-0000B9050000}"/>
    <cellStyle name="千分位 19 4 2 2 3" xfId="1476" xr:uid="{00000000-0005-0000-0000-0000BA050000}"/>
    <cellStyle name="千分位 19 4 2 3" xfId="1477" xr:uid="{00000000-0005-0000-0000-0000BB050000}"/>
    <cellStyle name="千分位 19 4 2 3 2" xfId="1478" xr:uid="{00000000-0005-0000-0000-0000BC050000}"/>
    <cellStyle name="千分位 19 4 2 4" xfId="1479" xr:uid="{00000000-0005-0000-0000-0000BD050000}"/>
    <cellStyle name="千分位 19 4 3" xfId="1480" xr:uid="{00000000-0005-0000-0000-0000BE050000}"/>
    <cellStyle name="千分位 19 4 3 2" xfId="1481" xr:uid="{00000000-0005-0000-0000-0000BF050000}"/>
    <cellStyle name="千分位 19 4 3 2 2" xfId="1482" xr:uid="{00000000-0005-0000-0000-0000C0050000}"/>
    <cellStyle name="千分位 19 4 3 3" xfId="1483" xr:uid="{00000000-0005-0000-0000-0000C1050000}"/>
    <cellStyle name="千分位 19 4 4" xfId="1484" xr:uid="{00000000-0005-0000-0000-0000C2050000}"/>
    <cellStyle name="千分位 19 4 4 2" xfId="1485" xr:uid="{00000000-0005-0000-0000-0000C3050000}"/>
    <cellStyle name="千分位 19 4 5" xfId="1486" xr:uid="{00000000-0005-0000-0000-0000C4050000}"/>
    <cellStyle name="千分位 19 5" xfId="1487" xr:uid="{00000000-0005-0000-0000-0000C5050000}"/>
    <cellStyle name="千分位 19 5 2" xfId="1488" xr:uid="{00000000-0005-0000-0000-0000C6050000}"/>
    <cellStyle name="千分位 19 5 2 2" xfId="1489" xr:uid="{00000000-0005-0000-0000-0000C7050000}"/>
    <cellStyle name="千分位 19 5 2 2 2" xfId="1490" xr:uid="{00000000-0005-0000-0000-0000C8050000}"/>
    <cellStyle name="千分位 19 5 2 3" xfId="1491" xr:uid="{00000000-0005-0000-0000-0000C9050000}"/>
    <cellStyle name="千分位 19 5 3" xfId="1492" xr:uid="{00000000-0005-0000-0000-0000CA050000}"/>
    <cellStyle name="千分位 19 5 3 2" xfId="1493" xr:uid="{00000000-0005-0000-0000-0000CB050000}"/>
    <cellStyle name="千分位 19 5 4" xfId="1494" xr:uid="{00000000-0005-0000-0000-0000CC050000}"/>
    <cellStyle name="千分位 19 6" xfId="1495" xr:uid="{00000000-0005-0000-0000-0000CD050000}"/>
    <cellStyle name="千分位 19 6 2" xfId="1496" xr:uid="{00000000-0005-0000-0000-0000CE050000}"/>
    <cellStyle name="千分位 19 6 2 2" xfId="1497" xr:uid="{00000000-0005-0000-0000-0000CF050000}"/>
    <cellStyle name="千分位 19 6 3" xfId="1498" xr:uid="{00000000-0005-0000-0000-0000D0050000}"/>
    <cellStyle name="千分位 19 7" xfId="1499" xr:uid="{00000000-0005-0000-0000-0000D1050000}"/>
    <cellStyle name="千分位 19 7 2" xfId="1500" xr:uid="{00000000-0005-0000-0000-0000D2050000}"/>
    <cellStyle name="千分位 19 8" xfId="1501" xr:uid="{00000000-0005-0000-0000-0000D3050000}"/>
    <cellStyle name="千分位 19 9" xfId="1374" xr:uid="{00000000-0005-0000-0000-0000D4050000}"/>
    <cellStyle name="千分位 2" xfId="2" xr:uid="{00000000-0005-0000-0000-0000D5050000}"/>
    <cellStyle name="千分位 2 10" xfId="1503" xr:uid="{00000000-0005-0000-0000-0000D6050000}"/>
    <cellStyle name="千分位 2 11" xfId="1504" xr:uid="{00000000-0005-0000-0000-0000D7050000}"/>
    <cellStyle name="千分位 2 12" xfId="1502" xr:uid="{00000000-0005-0000-0000-0000D8050000}"/>
    <cellStyle name="千分位 2 2" xfId="1505" xr:uid="{00000000-0005-0000-0000-0000D9050000}"/>
    <cellStyle name="千分位 2 2 2" xfId="1506" xr:uid="{00000000-0005-0000-0000-0000DA050000}"/>
    <cellStyle name="千分位 2 2 2 2" xfId="1507" xr:uid="{00000000-0005-0000-0000-0000DB050000}"/>
    <cellStyle name="千分位 2 2 2 2 2" xfId="1508" xr:uid="{00000000-0005-0000-0000-0000DC050000}"/>
    <cellStyle name="千分位 2 2 2 2 2 2" xfId="1509" xr:uid="{00000000-0005-0000-0000-0000DD050000}"/>
    <cellStyle name="千分位 2 2 2 2 2 2 2" xfId="1510" xr:uid="{00000000-0005-0000-0000-0000DE050000}"/>
    <cellStyle name="千分位 2 2 2 2 2 2 2 2" xfId="1511" xr:uid="{00000000-0005-0000-0000-0000DF050000}"/>
    <cellStyle name="千分位 2 2 2 2 2 2 3" xfId="1512" xr:uid="{00000000-0005-0000-0000-0000E0050000}"/>
    <cellStyle name="千分位 2 2 2 2 2 3" xfId="1513" xr:uid="{00000000-0005-0000-0000-0000E1050000}"/>
    <cellStyle name="千分位 2 2 2 2 2 3 2" xfId="1514" xr:uid="{00000000-0005-0000-0000-0000E2050000}"/>
    <cellStyle name="千分位 2 2 2 2 2 4" xfId="1515" xr:uid="{00000000-0005-0000-0000-0000E3050000}"/>
    <cellStyle name="千分位 2 2 2 2 3" xfId="1516" xr:uid="{00000000-0005-0000-0000-0000E4050000}"/>
    <cellStyle name="千分位 2 2 2 2 3 2" xfId="1517" xr:uid="{00000000-0005-0000-0000-0000E5050000}"/>
    <cellStyle name="千分位 2 2 2 2 3 2 2" xfId="1518" xr:uid="{00000000-0005-0000-0000-0000E6050000}"/>
    <cellStyle name="千分位 2 2 2 2 3 3" xfId="1519" xr:uid="{00000000-0005-0000-0000-0000E7050000}"/>
    <cellStyle name="千分位 2 2 2 2 4" xfId="1520" xr:uid="{00000000-0005-0000-0000-0000E8050000}"/>
    <cellStyle name="千分位 2 2 2 2 4 2" xfId="1521" xr:uid="{00000000-0005-0000-0000-0000E9050000}"/>
    <cellStyle name="千分位 2 2 2 2 5" xfId="1522" xr:uid="{00000000-0005-0000-0000-0000EA050000}"/>
    <cellStyle name="千分位 2 2 2 3" xfId="1523" xr:uid="{00000000-0005-0000-0000-0000EB050000}"/>
    <cellStyle name="千分位 2 2 2 3 2" xfId="1524" xr:uid="{00000000-0005-0000-0000-0000EC050000}"/>
    <cellStyle name="千分位 2 2 2 3 2 2" xfId="1525" xr:uid="{00000000-0005-0000-0000-0000ED050000}"/>
    <cellStyle name="千分位 2 2 2 3 2 2 2" xfId="1526" xr:uid="{00000000-0005-0000-0000-0000EE050000}"/>
    <cellStyle name="千分位 2 2 2 3 2 3" xfId="1527" xr:uid="{00000000-0005-0000-0000-0000EF050000}"/>
    <cellStyle name="千分位 2 2 2 3 3" xfId="1528" xr:uid="{00000000-0005-0000-0000-0000F0050000}"/>
    <cellStyle name="千分位 2 2 2 3 3 2" xfId="1529" xr:uid="{00000000-0005-0000-0000-0000F1050000}"/>
    <cellStyle name="千分位 2 2 2 3 4" xfId="1530" xr:uid="{00000000-0005-0000-0000-0000F2050000}"/>
    <cellStyle name="千分位 2 2 2 4" xfId="1531" xr:uid="{00000000-0005-0000-0000-0000F3050000}"/>
    <cellStyle name="千分位 2 2 2 4 2" xfId="1532" xr:uid="{00000000-0005-0000-0000-0000F4050000}"/>
    <cellStyle name="千分位 2 2 2 4 2 2" xfId="1533" xr:uid="{00000000-0005-0000-0000-0000F5050000}"/>
    <cellStyle name="千分位 2 2 2 4 3" xfId="1534" xr:uid="{00000000-0005-0000-0000-0000F6050000}"/>
    <cellStyle name="千分位 2 2 2 5" xfId="1535" xr:uid="{00000000-0005-0000-0000-0000F7050000}"/>
    <cellStyle name="千分位 2 2 2 5 2" xfId="1536" xr:uid="{00000000-0005-0000-0000-0000F8050000}"/>
    <cellStyle name="千分位 2 2 2 6" xfId="1537" xr:uid="{00000000-0005-0000-0000-0000F9050000}"/>
    <cellStyle name="千分位 2 2 3" xfId="1538" xr:uid="{00000000-0005-0000-0000-0000FA050000}"/>
    <cellStyle name="千分位 2 2 3 2" xfId="1539" xr:uid="{00000000-0005-0000-0000-0000FB050000}"/>
    <cellStyle name="千分位 2 2 3 2 2" xfId="1540" xr:uid="{00000000-0005-0000-0000-0000FC050000}"/>
    <cellStyle name="千分位 2 2 3 2 2 2" xfId="1541" xr:uid="{00000000-0005-0000-0000-0000FD050000}"/>
    <cellStyle name="千分位 2 2 3 2 2 2 2" xfId="1542" xr:uid="{00000000-0005-0000-0000-0000FE050000}"/>
    <cellStyle name="千分位 2 2 3 2 2 3" xfId="1543" xr:uid="{00000000-0005-0000-0000-0000FF050000}"/>
    <cellStyle name="千分位 2 2 3 2 3" xfId="1544" xr:uid="{00000000-0005-0000-0000-000000060000}"/>
    <cellStyle name="千分位 2 2 3 2 3 2" xfId="1545" xr:uid="{00000000-0005-0000-0000-000001060000}"/>
    <cellStyle name="千分位 2 2 3 2 4" xfId="1546" xr:uid="{00000000-0005-0000-0000-000002060000}"/>
    <cellStyle name="千分位 2 2 3 3" xfId="1547" xr:uid="{00000000-0005-0000-0000-000003060000}"/>
    <cellStyle name="千分位 2 2 3 3 2" xfId="1548" xr:uid="{00000000-0005-0000-0000-000004060000}"/>
    <cellStyle name="千分位 2 2 3 3 2 2" xfId="1549" xr:uid="{00000000-0005-0000-0000-000005060000}"/>
    <cellStyle name="千分位 2 2 3 3 3" xfId="1550" xr:uid="{00000000-0005-0000-0000-000006060000}"/>
    <cellStyle name="千分位 2 2 3 4" xfId="1551" xr:uid="{00000000-0005-0000-0000-000007060000}"/>
    <cellStyle name="千分位 2 2 3 4 2" xfId="1552" xr:uid="{00000000-0005-0000-0000-000008060000}"/>
    <cellStyle name="千分位 2 2 3 5" xfId="1553" xr:uid="{00000000-0005-0000-0000-000009060000}"/>
    <cellStyle name="千分位 2 2 4" xfId="1554" xr:uid="{00000000-0005-0000-0000-00000A060000}"/>
    <cellStyle name="千分位 2 2 4 2" xfId="1555" xr:uid="{00000000-0005-0000-0000-00000B060000}"/>
    <cellStyle name="千分位 2 2 4 2 2" xfId="1556" xr:uid="{00000000-0005-0000-0000-00000C060000}"/>
    <cellStyle name="千分位 2 2 4 2 2 2" xfId="1557" xr:uid="{00000000-0005-0000-0000-00000D060000}"/>
    <cellStyle name="千分位 2 2 4 2 3" xfId="1558" xr:uid="{00000000-0005-0000-0000-00000E060000}"/>
    <cellStyle name="千分位 2 2 4 3" xfId="1559" xr:uid="{00000000-0005-0000-0000-00000F060000}"/>
    <cellStyle name="千分位 2 2 4 3 2" xfId="1560" xr:uid="{00000000-0005-0000-0000-000010060000}"/>
    <cellStyle name="千分位 2 2 4 4" xfId="1561" xr:uid="{00000000-0005-0000-0000-000011060000}"/>
    <cellStyle name="千分位 2 2 5" xfId="1562" xr:uid="{00000000-0005-0000-0000-000012060000}"/>
    <cellStyle name="千分位 2 2 5 2" xfId="1563" xr:uid="{00000000-0005-0000-0000-000013060000}"/>
    <cellStyle name="千分位 2 2 5 2 2" xfId="1564" xr:uid="{00000000-0005-0000-0000-000014060000}"/>
    <cellStyle name="千分位 2 2 5 3" xfId="1565" xr:uid="{00000000-0005-0000-0000-000015060000}"/>
    <cellStyle name="千分位 2 2 6" xfId="1566" xr:uid="{00000000-0005-0000-0000-000016060000}"/>
    <cellStyle name="千分位 2 2 6 2" xfId="1567" xr:uid="{00000000-0005-0000-0000-000017060000}"/>
    <cellStyle name="千分位 2 2 7" xfId="1568" xr:uid="{00000000-0005-0000-0000-000018060000}"/>
    <cellStyle name="千分位 2 3" xfId="1569" xr:uid="{00000000-0005-0000-0000-000019060000}"/>
    <cellStyle name="千分位 2 3 2" xfId="1570" xr:uid="{00000000-0005-0000-0000-00001A060000}"/>
    <cellStyle name="千分位 2 3 2 2" xfId="1571" xr:uid="{00000000-0005-0000-0000-00001B060000}"/>
    <cellStyle name="千分位 2 3 2 2 2" xfId="1572" xr:uid="{00000000-0005-0000-0000-00001C060000}"/>
    <cellStyle name="千分位 2 3 2 2 2 2" xfId="1573" xr:uid="{00000000-0005-0000-0000-00001D060000}"/>
    <cellStyle name="千分位 2 3 2 2 2 2 2" xfId="1574" xr:uid="{00000000-0005-0000-0000-00001E060000}"/>
    <cellStyle name="千分位 2 3 2 2 2 3" xfId="1575" xr:uid="{00000000-0005-0000-0000-00001F060000}"/>
    <cellStyle name="千分位 2 3 2 2 3" xfId="1576" xr:uid="{00000000-0005-0000-0000-000020060000}"/>
    <cellStyle name="千分位 2 3 2 2 3 2" xfId="1577" xr:uid="{00000000-0005-0000-0000-000021060000}"/>
    <cellStyle name="千分位 2 3 2 2 4" xfId="1578" xr:uid="{00000000-0005-0000-0000-000022060000}"/>
    <cellStyle name="千分位 2 3 2 3" xfId="1579" xr:uid="{00000000-0005-0000-0000-000023060000}"/>
    <cellStyle name="千分位 2 3 2 3 2" xfId="1580" xr:uid="{00000000-0005-0000-0000-000024060000}"/>
    <cellStyle name="千分位 2 3 2 3 2 2" xfId="1581" xr:uid="{00000000-0005-0000-0000-000025060000}"/>
    <cellStyle name="千分位 2 3 2 3 3" xfId="1582" xr:uid="{00000000-0005-0000-0000-000026060000}"/>
    <cellStyle name="千分位 2 3 2 4" xfId="1583" xr:uid="{00000000-0005-0000-0000-000027060000}"/>
    <cellStyle name="千分位 2 3 2 4 2" xfId="1584" xr:uid="{00000000-0005-0000-0000-000028060000}"/>
    <cellStyle name="千分位 2 3 2 5" xfId="1585" xr:uid="{00000000-0005-0000-0000-000029060000}"/>
    <cellStyle name="千分位 2 3 3" xfId="1586" xr:uid="{00000000-0005-0000-0000-00002A060000}"/>
    <cellStyle name="千分位 2 3 3 2" xfId="1587" xr:uid="{00000000-0005-0000-0000-00002B060000}"/>
    <cellStyle name="千分位 2 3 3 2 2" xfId="1588" xr:uid="{00000000-0005-0000-0000-00002C060000}"/>
    <cellStyle name="千分位 2 3 3 2 2 2" xfId="1589" xr:uid="{00000000-0005-0000-0000-00002D060000}"/>
    <cellStyle name="千分位 2 3 3 2 3" xfId="1590" xr:uid="{00000000-0005-0000-0000-00002E060000}"/>
    <cellStyle name="千分位 2 3 3 3" xfId="1591" xr:uid="{00000000-0005-0000-0000-00002F060000}"/>
    <cellStyle name="千分位 2 3 3 3 2" xfId="1592" xr:uid="{00000000-0005-0000-0000-000030060000}"/>
    <cellStyle name="千分位 2 3 3 4" xfId="1593" xr:uid="{00000000-0005-0000-0000-000031060000}"/>
    <cellStyle name="千分位 2 3 4" xfId="1594" xr:uid="{00000000-0005-0000-0000-000032060000}"/>
    <cellStyle name="千分位 2 3 4 2" xfId="1595" xr:uid="{00000000-0005-0000-0000-000033060000}"/>
    <cellStyle name="千分位 2 3 4 2 2" xfId="1596" xr:uid="{00000000-0005-0000-0000-000034060000}"/>
    <cellStyle name="千分位 2 3 4 3" xfId="1597" xr:uid="{00000000-0005-0000-0000-000035060000}"/>
    <cellStyle name="千分位 2 3 5" xfId="1598" xr:uid="{00000000-0005-0000-0000-000036060000}"/>
    <cellStyle name="千分位 2 3 5 2" xfId="1599" xr:uid="{00000000-0005-0000-0000-000037060000}"/>
    <cellStyle name="千分位 2 3 6" xfId="1600" xr:uid="{00000000-0005-0000-0000-000038060000}"/>
    <cellStyle name="千分位 2 4" xfId="1601" xr:uid="{00000000-0005-0000-0000-000039060000}"/>
    <cellStyle name="千分位 2 4 2" xfId="1602" xr:uid="{00000000-0005-0000-0000-00003A060000}"/>
    <cellStyle name="千分位 2 4 2 2" xfId="1603" xr:uid="{00000000-0005-0000-0000-00003B060000}"/>
    <cellStyle name="千分位 2 4 2 2 2" xfId="1604" xr:uid="{00000000-0005-0000-0000-00003C060000}"/>
    <cellStyle name="千分位 2 4 2 2 2 2" xfId="1605" xr:uid="{00000000-0005-0000-0000-00003D060000}"/>
    <cellStyle name="千分位 2 4 2 2 3" xfId="1606" xr:uid="{00000000-0005-0000-0000-00003E060000}"/>
    <cellStyle name="千分位 2 4 2 3" xfId="1607" xr:uid="{00000000-0005-0000-0000-00003F060000}"/>
    <cellStyle name="千分位 2 4 2 3 2" xfId="1608" xr:uid="{00000000-0005-0000-0000-000040060000}"/>
    <cellStyle name="千分位 2 4 2 4" xfId="1609" xr:uid="{00000000-0005-0000-0000-000041060000}"/>
    <cellStyle name="千分位 2 4 3" xfId="1610" xr:uid="{00000000-0005-0000-0000-000042060000}"/>
    <cellStyle name="千分位 2 4 3 2" xfId="1611" xr:uid="{00000000-0005-0000-0000-000043060000}"/>
    <cellStyle name="千分位 2 4 3 2 2" xfId="1612" xr:uid="{00000000-0005-0000-0000-000044060000}"/>
    <cellStyle name="千分位 2 4 3 3" xfId="1613" xr:uid="{00000000-0005-0000-0000-000045060000}"/>
    <cellStyle name="千分位 2 4 4" xfId="1614" xr:uid="{00000000-0005-0000-0000-000046060000}"/>
    <cellStyle name="千分位 2 4 4 2" xfId="1615" xr:uid="{00000000-0005-0000-0000-000047060000}"/>
    <cellStyle name="千分位 2 4 5" xfId="1616" xr:uid="{00000000-0005-0000-0000-000048060000}"/>
    <cellStyle name="千分位 2 5" xfId="1617" xr:uid="{00000000-0005-0000-0000-000049060000}"/>
    <cellStyle name="千分位 2 5 2" xfId="1618" xr:uid="{00000000-0005-0000-0000-00004A060000}"/>
    <cellStyle name="千分位 2 5 2 2" xfId="1619" xr:uid="{00000000-0005-0000-0000-00004B060000}"/>
    <cellStyle name="千分位 2 5 2 2 2" xfId="1620" xr:uid="{00000000-0005-0000-0000-00004C060000}"/>
    <cellStyle name="千分位 2 5 2 2 2 2" xfId="1621" xr:uid="{00000000-0005-0000-0000-00004D060000}"/>
    <cellStyle name="千分位 2 5 2 2 3" xfId="1622" xr:uid="{00000000-0005-0000-0000-00004E060000}"/>
    <cellStyle name="千分位 2 5 2 3" xfId="1623" xr:uid="{00000000-0005-0000-0000-00004F060000}"/>
    <cellStyle name="千分位 2 5 2 3 2" xfId="1624" xr:uid="{00000000-0005-0000-0000-000050060000}"/>
    <cellStyle name="千分位 2 5 2 4" xfId="1625" xr:uid="{00000000-0005-0000-0000-000051060000}"/>
    <cellStyle name="千分位 2 5 3" xfId="1626" xr:uid="{00000000-0005-0000-0000-000052060000}"/>
    <cellStyle name="千分位 2 5 3 2" xfId="1627" xr:uid="{00000000-0005-0000-0000-000053060000}"/>
    <cellStyle name="千分位 2 5 3 2 2" xfId="1628" xr:uid="{00000000-0005-0000-0000-000054060000}"/>
    <cellStyle name="千分位 2 5 3 3" xfId="1629" xr:uid="{00000000-0005-0000-0000-000055060000}"/>
    <cellStyle name="千分位 2 5 4" xfId="1630" xr:uid="{00000000-0005-0000-0000-000056060000}"/>
    <cellStyle name="千分位 2 5 4 2" xfId="1631" xr:uid="{00000000-0005-0000-0000-000057060000}"/>
    <cellStyle name="千分位 2 5 5" xfId="1632" xr:uid="{00000000-0005-0000-0000-000058060000}"/>
    <cellStyle name="千分位 2 6" xfId="1633" xr:uid="{00000000-0005-0000-0000-000059060000}"/>
    <cellStyle name="千分位 2 6 2" xfId="1634" xr:uid="{00000000-0005-0000-0000-00005A060000}"/>
    <cellStyle name="千分位 2 6 2 2" xfId="1635" xr:uid="{00000000-0005-0000-0000-00005B060000}"/>
    <cellStyle name="千分位 2 6 2 2 2" xfId="1636" xr:uid="{00000000-0005-0000-0000-00005C060000}"/>
    <cellStyle name="千分位 2 6 2 3" xfId="1637" xr:uid="{00000000-0005-0000-0000-00005D060000}"/>
    <cellStyle name="千分位 2 6 3" xfId="1638" xr:uid="{00000000-0005-0000-0000-00005E060000}"/>
    <cellStyle name="千分位 2 6 3 2" xfId="1639" xr:uid="{00000000-0005-0000-0000-00005F060000}"/>
    <cellStyle name="千分位 2 6 4" xfId="1640" xr:uid="{00000000-0005-0000-0000-000060060000}"/>
    <cellStyle name="千分位 2 7" xfId="1641" xr:uid="{00000000-0005-0000-0000-000061060000}"/>
    <cellStyle name="千分位 2 7 2" xfId="1642" xr:uid="{00000000-0005-0000-0000-000062060000}"/>
    <cellStyle name="千分位 2 7 2 2" xfId="1643" xr:uid="{00000000-0005-0000-0000-000063060000}"/>
    <cellStyle name="千分位 2 7 3" xfId="1644" xr:uid="{00000000-0005-0000-0000-000064060000}"/>
    <cellStyle name="千分位 2 8" xfId="1645" xr:uid="{00000000-0005-0000-0000-000065060000}"/>
    <cellStyle name="千分位 2 8 2" xfId="1646" xr:uid="{00000000-0005-0000-0000-000066060000}"/>
    <cellStyle name="千分位 2 9" xfId="1647" xr:uid="{00000000-0005-0000-0000-000067060000}"/>
    <cellStyle name="千分位 2 9 2" xfId="1648" xr:uid="{00000000-0005-0000-0000-000068060000}"/>
    <cellStyle name="千分位 20" xfId="1649" xr:uid="{00000000-0005-0000-0000-000069060000}"/>
    <cellStyle name="千分位 20 2" xfId="1650" xr:uid="{00000000-0005-0000-0000-00006A060000}"/>
    <cellStyle name="千分位 20 2 2" xfId="1651" xr:uid="{00000000-0005-0000-0000-00006B060000}"/>
    <cellStyle name="千分位 20 2 2 2" xfId="1652" xr:uid="{00000000-0005-0000-0000-00006C060000}"/>
    <cellStyle name="千分位 20 2 2 2 2" xfId="1653" xr:uid="{00000000-0005-0000-0000-00006D060000}"/>
    <cellStyle name="千分位 20 2 2 2 2 2" xfId="1654" xr:uid="{00000000-0005-0000-0000-00006E060000}"/>
    <cellStyle name="千分位 20 2 2 2 2 2 2" xfId="1655" xr:uid="{00000000-0005-0000-0000-00006F060000}"/>
    <cellStyle name="千分位 20 2 2 2 2 3" xfId="1656" xr:uid="{00000000-0005-0000-0000-000070060000}"/>
    <cellStyle name="千分位 20 2 2 2 3" xfId="1657" xr:uid="{00000000-0005-0000-0000-000071060000}"/>
    <cellStyle name="千分位 20 2 2 2 3 2" xfId="1658" xr:uid="{00000000-0005-0000-0000-000072060000}"/>
    <cellStyle name="千分位 20 2 2 2 4" xfId="1659" xr:uid="{00000000-0005-0000-0000-000073060000}"/>
    <cellStyle name="千分位 20 2 2 3" xfId="1660" xr:uid="{00000000-0005-0000-0000-000074060000}"/>
    <cellStyle name="千分位 20 2 2 3 2" xfId="1661" xr:uid="{00000000-0005-0000-0000-000075060000}"/>
    <cellStyle name="千分位 20 2 2 3 2 2" xfId="1662" xr:uid="{00000000-0005-0000-0000-000076060000}"/>
    <cellStyle name="千分位 20 2 2 3 3" xfId="1663" xr:uid="{00000000-0005-0000-0000-000077060000}"/>
    <cellStyle name="千分位 20 2 2 4" xfId="1664" xr:uid="{00000000-0005-0000-0000-000078060000}"/>
    <cellStyle name="千分位 20 2 2 4 2" xfId="1665" xr:uid="{00000000-0005-0000-0000-000079060000}"/>
    <cellStyle name="千分位 20 2 2 5" xfId="1666" xr:uid="{00000000-0005-0000-0000-00007A060000}"/>
    <cellStyle name="千分位 20 2 3" xfId="1667" xr:uid="{00000000-0005-0000-0000-00007B060000}"/>
    <cellStyle name="千分位 20 2 3 2" xfId="1668" xr:uid="{00000000-0005-0000-0000-00007C060000}"/>
    <cellStyle name="千分位 20 2 3 2 2" xfId="1669" xr:uid="{00000000-0005-0000-0000-00007D060000}"/>
    <cellStyle name="千分位 20 2 3 2 2 2" xfId="1670" xr:uid="{00000000-0005-0000-0000-00007E060000}"/>
    <cellStyle name="千分位 20 2 3 2 3" xfId="1671" xr:uid="{00000000-0005-0000-0000-00007F060000}"/>
    <cellStyle name="千分位 20 2 3 3" xfId="1672" xr:uid="{00000000-0005-0000-0000-000080060000}"/>
    <cellStyle name="千分位 20 2 3 3 2" xfId="1673" xr:uid="{00000000-0005-0000-0000-000081060000}"/>
    <cellStyle name="千分位 20 2 3 4" xfId="1674" xr:uid="{00000000-0005-0000-0000-000082060000}"/>
    <cellStyle name="千分位 20 2 4" xfId="1675" xr:uid="{00000000-0005-0000-0000-000083060000}"/>
    <cellStyle name="千分位 20 2 4 2" xfId="1676" xr:uid="{00000000-0005-0000-0000-000084060000}"/>
    <cellStyle name="千分位 20 2 4 2 2" xfId="1677" xr:uid="{00000000-0005-0000-0000-000085060000}"/>
    <cellStyle name="千分位 20 2 4 3" xfId="1678" xr:uid="{00000000-0005-0000-0000-000086060000}"/>
    <cellStyle name="千分位 20 2 5" xfId="1679" xr:uid="{00000000-0005-0000-0000-000087060000}"/>
    <cellStyle name="千分位 20 2 5 2" xfId="1680" xr:uid="{00000000-0005-0000-0000-000088060000}"/>
    <cellStyle name="千分位 20 2 6" xfId="1681" xr:uid="{00000000-0005-0000-0000-000089060000}"/>
    <cellStyle name="千分位 20 3" xfId="1682" xr:uid="{00000000-0005-0000-0000-00008A060000}"/>
    <cellStyle name="千分位 20 3 2" xfId="1683" xr:uid="{00000000-0005-0000-0000-00008B060000}"/>
    <cellStyle name="千分位 20 3 2 2" xfId="1684" xr:uid="{00000000-0005-0000-0000-00008C060000}"/>
    <cellStyle name="千分位 20 3 2 2 2" xfId="1685" xr:uid="{00000000-0005-0000-0000-00008D060000}"/>
    <cellStyle name="千分位 20 3 2 2 2 2" xfId="1686" xr:uid="{00000000-0005-0000-0000-00008E060000}"/>
    <cellStyle name="千分位 20 3 2 2 3" xfId="1687" xr:uid="{00000000-0005-0000-0000-00008F060000}"/>
    <cellStyle name="千分位 20 3 2 3" xfId="1688" xr:uid="{00000000-0005-0000-0000-000090060000}"/>
    <cellStyle name="千分位 20 3 2 3 2" xfId="1689" xr:uid="{00000000-0005-0000-0000-000091060000}"/>
    <cellStyle name="千分位 20 3 2 4" xfId="1690" xr:uid="{00000000-0005-0000-0000-000092060000}"/>
    <cellStyle name="千分位 20 3 3" xfId="1691" xr:uid="{00000000-0005-0000-0000-000093060000}"/>
    <cellStyle name="千分位 20 3 3 2" xfId="1692" xr:uid="{00000000-0005-0000-0000-000094060000}"/>
    <cellStyle name="千分位 20 3 3 2 2" xfId="1693" xr:uid="{00000000-0005-0000-0000-000095060000}"/>
    <cellStyle name="千分位 20 3 3 3" xfId="1694" xr:uid="{00000000-0005-0000-0000-000096060000}"/>
    <cellStyle name="千分位 20 3 4" xfId="1695" xr:uid="{00000000-0005-0000-0000-000097060000}"/>
    <cellStyle name="千分位 20 3 4 2" xfId="1696" xr:uid="{00000000-0005-0000-0000-000098060000}"/>
    <cellStyle name="千分位 20 3 5" xfId="1697" xr:uid="{00000000-0005-0000-0000-000099060000}"/>
    <cellStyle name="千分位 20 4" xfId="1698" xr:uid="{00000000-0005-0000-0000-00009A060000}"/>
    <cellStyle name="千分位 20 4 2" xfId="1699" xr:uid="{00000000-0005-0000-0000-00009B060000}"/>
    <cellStyle name="千分位 20 4 2 2" xfId="1700" xr:uid="{00000000-0005-0000-0000-00009C060000}"/>
    <cellStyle name="千分位 20 4 2 2 2" xfId="1701" xr:uid="{00000000-0005-0000-0000-00009D060000}"/>
    <cellStyle name="千分位 20 4 2 3" xfId="1702" xr:uid="{00000000-0005-0000-0000-00009E060000}"/>
    <cellStyle name="千分位 20 4 3" xfId="1703" xr:uid="{00000000-0005-0000-0000-00009F060000}"/>
    <cellStyle name="千分位 20 4 3 2" xfId="1704" xr:uid="{00000000-0005-0000-0000-0000A0060000}"/>
    <cellStyle name="千分位 20 4 4" xfId="1705" xr:uid="{00000000-0005-0000-0000-0000A1060000}"/>
    <cellStyle name="千分位 20 5" xfId="1706" xr:uid="{00000000-0005-0000-0000-0000A2060000}"/>
    <cellStyle name="千分位 20 5 2" xfId="1707" xr:uid="{00000000-0005-0000-0000-0000A3060000}"/>
    <cellStyle name="千分位 20 5 2 2" xfId="1708" xr:uid="{00000000-0005-0000-0000-0000A4060000}"/>
    <cellStyle name="千分位 20 5 3" xfId="1709" xr:uid="{00000000-0005-0000-0000-0000A5060000}"/>
    <cellStyle name="千分位 20 6" xfId="1710" xr:uid="{00000000-0005-0000-0000-0000A6060000}"/>
    <cellStyle name="千分位 20 6 2" xfId="1711" xr:uid="{00000000-0005-0000-0000-0000A7060000}"/>
    <cellStyle name="千分位 20 7" xfId="1712" xr:uid="{00000000-0005-0000-0000-0000A8060000}"/>
    <cellStyle name="千分位 21" xfId="1713" xr:uid="{00000000-0005-0000-0000-0000A9060000}"/>
    <cellStyle name="千分位 21 2" xfId="1714" xr:uid="{00000000-0005-0000-0000-0000AA060000}"/>
    <cellStyle name="千分位 21 2 2" xfId="1715" xr:uid="{00000000-0005-0000-0000-0000AB060000}"/>
    <cellStyle name="千分位 21 2 2 2" xfId="1716" xr:uid="{00000000-0005-0000-0000-0000AC060000}"/>
    <cellStyle name="千分位 21 2 2 2 2" xfId="1717" xr:uid="{00000000-0005-0000-0000-0000AD060000}"/>
    <cellStyle name="千分位 21 2 2 2 2 2" xfId="1718" xr:uid="{00000000-0005-0000-0000-0000AE060000}"/>
    <cellStyle name="千分位 21 2 2 2 2 2 2" xfId="1719" xr:uid="{00000000-0005-0000-0000-0000AF060000}"/>
    <cellStyle name="千分位 21 2 2 2 2 3" xfId="1720" xr:uid="{00000000-0005-0000-0000-0000B0060000}"/>
    <cellStyle name="千分位 21 2 2 2 3" xfId="1721" xr:uid="{00000000-0005-0000-0000-0000B1060000}"/>
    <cellStyle name="千分位 21 2 2 2 3 2" xfId="1722" xr:uid="{00000000-0005-0000-0000-0000B2060000}"/>
    <cellStyle name="千分位 21 2 2 2 4" xfId="1723" xr:uid="{00000000-0005-0000-0000-0000B3060000}"/>
    <cellStyle name="千分位 21 2 2 3" xfId="1724" xr:uid="{00000000-0005-0000-0000-0000B4060000}"/>
    <cellStyle name="千分位 21 2 2 3 2" xfId="1725" xr:uid="{00000000-0005-0000-0000-0000B5060000}"/>
    <cellStyle name="千分位 21 2 2 3 2 2" xfId="1726" xr:uid="{00000000-0005-0000-0000-0000B6060000}"/>
    <cellStyle name="千分位 21 2 2 3 3" xfId="1727" xr:uid="{00000000-0005-0000-0000-0000B7060000}"/>
    <cellStyle name="千分位 21 2 2 4" xfId="1728" xr:uid="{00000000-0005-0000-0000-0000B8060000}"/>
    <cellStyle name="千分位 21 2 2 4 2" xfId="1729" xr:uid="{00000000-0005-0000-0000-0000B9060000}"/>
    <cellStyle name="千分位 21 2 2 5" xfId="1730" xr:uid="{00000000-0005-0000-0000-0000BA060000}"/>
    <cellStyle name="千分位 21 2 3" xfId="1731" xr:uid="{00000000-0005-0000-0000-0000BB060000}"/>
    <cellStyle name="千分位 21 2 3 2" xfId="1732" xr:uid="{00000000-0005-0000-0000-0000BC060000}"/>
    <cellStyle name="千分位 21 2 3 2 2" xfId="1733" xr:uid="{00000000-0005-0000-0000-0000BD060000}"/>
    <cellStyle name="千分位 21 2 3 2 2 2" xfId="1734" xr:uid="{00000000-0005-0000-0000-0000BE060000}"/>
    <cellStyle name="千分位 21 2 3 2 3" xfId="1735" xr:uid="{00000000-0005-0000-0000-0000BF060000}"/>
    <cellStyle name="千分位 21 2 3 3" xfId="1736" xr:uid="{00000000-0005-0000-0000-0000C0060000}"/>
    <cellStyle name="千分位 21 2 3 3 2" xfId="1737" xr:uid="{00000000-0005-0000-0000-0000C1060000}"/>
    <cellStyle name="千分位 21 2 3 4" xfId="1738" xr:uid="{00000000-0005-0000-0000-0000C2060000}"/>
    <cellStyle name="千分位 21 2 4" xfId="1739" xr:uid="{00000000-0005-0000-0000-0000C3060000}"/>
    <cellStyle name="千分位 21 2 4 2" xfId="1740" xr:uid="{00000000-0005-0000-0000-0000C4060000}"/>
    <cellStyle name="千分位 21 2 4 2 2" xfId="1741" xr:uid="{00000000-0005-0000-0000-0000C5060000}"/>
    <cellStyle name="千分位 21 2 4 3" xfId="1742" xr:uid="{00000000-0005-0000-0000-0000C6060000}"/>
    <cellStyle name="千分位 21 2 5" xfId="1743" xr:uid="{00000000-0005-0000-0000-0000C7060000}"/>
    <cellStyle name="千分位 21 2 5 2" xfId="1744" xr:uid="{00000000-0005-0000-0000-0000C8060000}"/>
    <cellStyle name="千分位 21 2 6" xfId="1745" xr:uid="{00000000-0005-0000-0000-0000C9060000}"/>
    <cellStyle name="千分位 21 3" xfId="1746" xr:uid="{00000000-0005-0000-0000-0000CA060000}"/>
    <cellStyle name="千分位 21 3 2" xfId="1747" xr:uid="{00000000-0005-0000-0000-0000CB060000}"/>
    <cellStyle name="千分位 21 3 2 2" xfId="1748" xr:uid="{00000000-0005-0000-0000-0000CC060000}"/>
    <cellStyle name="千分位 21 3 2 2 2" xfId="1749" xr:uid="{00000000-0005-0000-0000-0000CD060000}"/>
    <cellStyle name="千分位 21 3 2 2 2 2" xfId="1750" xr:uid="{00000000-0005-0000-0000-0000CE060000}"/>
    <cellStyle name="千分位 21 3 2 2 3" xfId="1751" xr:uid="{00000000-0005-0000-0000-0000CF060000}"/>
    <cellStyle name="千分位 21 3 2 3" xfId="1752" xr:uid="{00000000-0005-0000-0000-0000D0060000}"/>
    <cellStyle name="千分位 21 3 2 3 2" xfId="1753" xr:uid="{00000000-0005-0000-0000-0000D1060000}"/>
    <cellStyle name="千分位 21 3 2 4" xfId="1754" xr:uid="{00000000-0005-0000-0000-0000D2060000}"/>
    <cellStyle name="千分位 21 3 3" xfId="1755" xr:uid="{00000000-0005-0000-0000-0000D3060000}"/>
    <cellStyle name="千分位 21 3 3 2" xfId="1756" xr:uid="{00000000-0005-0000-0000-0000D4060000}"/>
    <cellStyle name="千分位 21 3 3 2 2" xfId="1757" xr:uid="{00000000-0005-0000-0000-0000D5060000}"/>
    <cellStyle name="千分位 21 3 3 3" xfId="1758" xr:uid="{00000000-0005-0000-0000-0000D6060000}"/>
    <cellStyle name="千分位 21 3 4" xfId="1759" xr:uid="{00000000-0005-0000-0000-0000D7060000}"/>
    <cellStyle name="千分位 21 3 4 2" xfId="1760" xr:uid="{00000000-0005-0000-0000-0000D8060000}"/>
    <cellStyle name="千分位 21 3 5" xfId="1761" xr:uid="{00000000-0005-0000-0000-0000D9060000}"/>
    <cellStyle name="千分位 21 4" xfId="1762" xr:uid="{00000000-0005-0000-0000-0000DA060000}"/>
    <cellStyle name="千分位 21 4 2" xfId="1763" xr:uid="{00000000-0005-0000-0000-0000DB060000}"/>
    <cellStyle name="千分位 21 4 2 2" xfId="1764" xr:uid="{00000000-0005-0000-0000-0000DC060000}"/>
    <cellStyle name="千分位 21 4 2 2 2" xfId="1765" xr:uid="{00000000-0005-0000-0000-0000DD060000}"/>
    <cellStyle name="千分位 21 4 2 3" xfId="1766" xr:uid="{00000000-0005-0000-0000-0000DE060000}"/>
    <cellStyle name="千分位 21 4 3" xfId="1767" xr:uid="{00000000-0005-0000-0000-0000DF060000}"/>
    <cellStyle name="千分位 21 4 3 2" xfId="1768" xr:uid="{00000000-0005-0000-0000-0000E0060000}"/>
    <cellStyle name="千分位 21 4 4" xfId="1769" xr:uid="{00000000-0005-0000-0000-0000E1060000}"/>
    <cellStyle name="千分位 21 5" xfId="1770" xr:uid="{00000000-0005-0000-0000-0000E2060000}"/>
    <cellStyle name="千分位 21 5 2" xfId="1771" xr:uid="{00000000-0005-0000-0000-0000E3060000}"/>
    <cellStyle name="千分位 21 5 2 2" xfId="1772" xr:uid="{00000000-0005-0000-0000-0000E4060000}"/>
    <cellStyle name="千分位 21 5 3" xfId="1773" xr:uid="{00000000-0005-0000-0000-0000E5060000}"/>
    <cellStyle name="千分位 21 6" xfId="1774" xr:uid="{00000000-0005-0000-0000-0000E6060000}"/>
    <cellStyle name="千分位 21 6 2" xfId="1775" xr:uid="{00000000-0005-0000-0000-0000E7060000}"/>
    <cellStyle name="千分位 21 7" xfId="1776" xr:uid="{00000000-0005-0000-0000-0000E8060000}"/>
    <cellStyle name="千分位 22" xfId="1777" xr:uid="{00000000-0005-0000-0000-0000E9060000}"/>
    <cellStyle name="千分位 22 2" xfId="1778" xr:uid="{00000000-0005-0000-0000-0000EA060000}"/>
    <cellStyle name="千分位 22 2 2" xfId="1779" xr:uid="{00000000-0005-0000-0000-0000EB060000}"/>
    <cellStyle name="千分位 22 2 2 2" xfId="1780" xr:uid="{00000000-0005-0000-0000-0000EC060000}"/>
    <cellStyle name="千分位 22 2 2 2 2" xfId="1781" xr:uid="{00000000-0005-0000-0000-0000ED060000}"/>
    <cellStyle name="千分位 22 2 2 3" xfId="1782" xr:uid="{00000000-0005-0000-0000-0000EE060000}"/>
    <cellStyle name="千分位 22 2 3" xfId="1783" xr:uid="{00000000-0005-0000-0000-0000EF060000}"/>
    <cellStyle name="千分位 22 2 3 2" xfId="1784" xr:uid="{00000000-0005-0000-0000-0000F0060000}"/>
    <cellStyle name="千分位 22 2 4" xfId="1785" xr:uid="{00000000-0005-0000-0000-0000F1060000}"/>
    <cellStyle name="千分位 22 3" xfId="1786" xr:uid="{00000000-0005-0000-0000-0000F2060000}"/>
    <cellStyle name="千分位 22 3 2" xfId="1787" xr:uid="{00000000-0005-0000-0000-0000F3060000}"/>
    <cellStyle name="千分位 22 3 2 2" xfId="1788" xr:uid="{00000000-0005-0000-0000-0000F4060000}"/>
    <cellStyle name="千分位 22 3 3" xfId="1789" xr:uid="{00000000-0005-0000-0000-0000F5060000}"/>
    <cellStyle name="千分位 22 4" xfId="1790" xr:uid="{00000000-0005-0000-0000-0000F6060000}"/>
    <cellStyle name="千分位 22 4 2" xfId="1791" xr:uid="{00000000-0005-0000-0000-0000F7060000}"/>
    <cellStyle name="千分位 22 5" xfId="1792" xr:uid="{00000000-0005-0000-0000-0000F8060000}"/>
    <cellStyle name="千分位 23" xfId="1793" xr:uid="{00000000-0005-0000-0000-0000F9060000}"/>
    <cellStyle name="千分位 23 2" xfId="1794" xr:uid="{00000000-0005-0000-0000-0000FA060000}"/>
    <cellStyle name="千分位 23 2 2" xfId="1795" xr:uid="{00000000-0005-0000-0000-0000FB060000}"/>
    <cellStyle name="千分位 23 2 2 2" xfId="1796" xr:uid="{00000000-0005-0000-0000-0000FC060000}"/>
    <cellStyle name="千分位 23 2 3" xfId="1797" xr:uid="{00000000-0005-0000-0000-0000FD060000}"/>
    <cellStyle name="千分位 23 3" xfId="1798" xr:uid="{00000000-0005-0000-0000-0000FE060000}"/>
    <cellStyle name="千分位 23 3 2" xfId="1799" xr:uid="{00000000-0005-0000-0000-0000FF060000}"/>
    <cellStyle name="千分位 23 4" xfId="1800" xr:uid="{00000000-0005-0000-0000-000000070000}"/>
    <cellStyle name="千分位 24" xfId="1801" xr:uid="{00000000-0005-0000-0000-000001070000}"/>
    <cellStyle name="千分位 24 2" xfId="1802" xr:uid="{00000000-0005-0000-0000-000002070000}"/>
    <cellStyle name="千分位 24 2 2" xfId="1803" xr:uid="{00000000-0005-0000-0000-000003070000}"/>
    <cellStyle name="千分位 24 2 2 2" xfId="1804" xr:uid="{00000000-0005-0000-0000-000004070000}"/>
    <cellStyle name="千分位 24 2 3" xfId="1805" xr:uid="{00000000-0005-0000-0000-000005070000}"/>
    <cellStyle name="千分位 24 3" xfId="1806" xr:uid="{00000000-0005-0000-0000-000006070000}"/>
    <cellStyle name="千分位 24 3 2" xfId="1807" xr:uid="{00000000-0005-0000-0000-000007070000}"/>
    <cellStyle name="千分位 24 4" xfId="1808" xr:uid="{00000000-0005-0000-0000-000008070000}"/>
    <cellStyle name="千分位 25" xfId="1809" xr:uid="{00000000-0005-0000-0000-000009070000}"/>
    <cellStyle name="千分位 25 2" xfId="1810" xr:uid="{00000000-0005-0000-0000-00000A070000}"/>
    <cellStyle name="千分位 25 2 2" xfId="1811" xr:uid="{00000000-0005-0000-0000-00000B070000}"/>
    <cellStyle name="千分位 25 3" xfId="1812" xr:uid="{00000000-0005-0000-0000-00000C070000}"/>
    <cellStyle name="千分位 26" xfId="1813" xr:uid="{00000000-0005-0000-0000-00000D070000}"/>
    <cellStyle name="千分位 26 2" xfId="1814" xr:uid="{00000000-0005-0000-0000-00000E070000}"/>
    <cellStyle name="千分位 26 2 2" xfId="1815" xr:uid="{00000000-0005-0000-0000-00000F070000}"/>
    <cellStyle name="千分位 26 3" xfId="1816" xr:uid="{00000000-0005-0000-0000-000010070000}"/>
    <cellStyle name="千分位 27" xfId="1817" xr:uid="{00000000-0005-0000-0000-000011070000}"/>
    <cellStyle name="千分位 27 2" xfId="1818" xr:uid="{00000000-0005-0000-0000-000012070000}"/>
    <cellStyle name="千分位 27 2 2" xfId="1819" xr:uid="{00000000-0005-0000-0000-000013070000}"/>
    <cellStyle name="千分位 27 3" xfId="1820" xr:uid="{00000000-0005-0000-0000-000014070000}"/>
    <cellStyle name="千分位 28" xfId="1821" xr:uid="{00000000-0005-0000-0000-000015070000}"/>
    <cellStyle name="千分位 28 2" xfId="1822" xr:uid="{00000000-0005-0000-0000-000016070000}"/>
    <cellStyle name="千分位 28 2 2" xfId="1823" xr:uid="{00000000-0005-0000-0000-000017070000}"/>
    <cellStyle name="千分位 28 3" xfId="1824" xr:uid="{00000000-0005-0000-0000-000018070000}"/>
    <cellStyle name="千分位 29" xfId="1825" xr:uid="{00000000-0005-0000-0000-000019070000}"/>
    <cellStyle name="千分位 29 2" xfId="1826" xr:uid="{00000000-0005-0000-0000-00001A070000}"/>
    <cellStyle name="千分位 3" xfId="3" xr:uid="{00000000-0005-0000-0000-00001B070000}"/>
    <cellStyle name="千分位 3 2" xfId="1828" xr:uid="{00000000-0005-0000-0000-00001C070000}"/>
    <cellStyle name="千分位 3 2 2" xfId="1829" xr:uid="{00000000-0005-0000-0000-00001D070000}"/>
    <cellStyle name="千分位 3 2 2 2" xfId="1830" xr:uid="{00000000-0005-0000-0000-00001E070000}"/>
    <cellStyle name="千分位 3 2 2 2 2" xfId="1831" xr:uid="{00000000-0005-0000-0000-00001F070000}"/>
    <cellStyle name="千分位 3 2 2 2 2 2" xfId="1832" xr:uid="{00000000-0005-0000-0000-000020070000}"/>
    <cellStyle name="千分位 3 2 2 2 2 2 2" xfId="1833" xr:uid="{00000000-0005-0000-0000-000021070000}"/>
    <cellStyle name="千分位 3 2 2 2 2 2 2 2" xfId="1834" xr:uid="{00000000-0005-0000-0000-000022070000}"/>
    <cellStyle name="千分位 3 2 2 2 2 2 3" xfId="1835" xr:uid="{00000000-0005-0000-0000-000023070000}"/>
    <cellStyle name="千分位 3 2 2 2 2 3" xfId="1836" xr:uid="{00000000-0005-0000-0000-000024070000}"/>
    <cellStyle name="千分位 3 2 2 2 2 3 2" xfId="1837" xr:uid="{00000000-0005-0000-0000-000025070000}"/>
    <cellStyle name="千分位 3 2 2 2 2 4" xfId="1838" xr:uid="{00000000-0005-0000-0000-000026070000}"/>
    <cellStyle name="千分位 3 2 2 2 3" xfId="1839" xr:uid="{00000000-0005-0000-0000-000027070000}"/>
    <cellStyle name="千分位 3 2 2 2 3 2" xfId="1840" xr:uid="{00000000-0005-0000-0000-000028070000}"/>
    <cellStyle name="千分位 3 2 2 2 3 2 2" xfId="1841" xr:uid="{00000000-0005-0000-0000-000029070000}"/>
    <cellStyle name="千分位 3 2 2 2 3 3" xfId="1842" xr:uid="{00000000-0005-0000-0000-00002A070000}"/>
    <cellStyle name="千分位 3 2 2 2 4" xfId="1843" xr:uid="{00000000-0005-0000-0000-00002B070000}"/>
    <cellStyle name="千分位 3 2 2 2 4 2" xfId="1844" xr:uid="{00000000-0005-0000-0000-00002C070000}"/>
    <cellStyle name="千分位 3 2 2 2 5" xfId="1845" xr:uid="{00000000-0005-0000-0000-00002D070000}"/>
    <cellStyle name="千分位 3 2 2 3" xfId="1846" xr:uid="{00000000-0005-0000-0000-00002E070000}"/>
    <cellStyle name="千分位 3 2 2 3 2" xfId="1847" xr:uid="{00000000-0005-0000-0000-00002F070000}"/>
    <cellStyle name="千分位 3 2 2 3 2 2" xfId="1848" xr:uid="{00000000-0005-0000-0000-000030070000}"/>
    <cellStyle name="千分位 3 2 2 3 2 2 2" xfId="1849" xr:uid="{00000000-0005-0000-0000-000031070000}"/>
    <cellStyle name="千分位 3 2 2 3 2 3" xfId="1850" xr:uid="{00000000-0005-0000-0000-000032070000}"/>
    <cellStyle name="千分位 3 2 2 3 3" xfId="1851" xr:uid="{00000000-0005-0000-0000-000033070000}"/>
    <cellStyle name="千分位 3 2 2 3 3 2" xfId="1852" xr:uid="{00000000-0005-0000-0000-000034070000}"/>
    <cellStyle name="千分位 3 2 2 3 4" xfId="1853" xr:uid="{00000000-0005-0000-0000-000035070000}"/>
    <cellStyle name="千分位 3 2 2 4" xfId="1854" xr:uid="{00000000-0005-0000-0000-000036070000}"/>
    <cellStyle name="千分位 3 2 2 4 2" xfId="1855" xr:uid="{00000000-0005-0000-0000-000037070000}"/>
    <cellStyle name="千分位 3 2 2 4 2 2" xfId="1856" xr:uid="{00000000-0005-0000-0000-000038070000}"/>
    <cellStyle name="千分位 3 2 2 4 3" xfId="1857" xr:uid="{00000000-0005-0000-0000-000039070000}"/>
    <cellStyle name="千分位 3 2 2 5" xfId="1858" xr:uid="{00000000-0005-0000-0000-00003A070000}"/>
    <cellStyle name="千分位 3 2 2 5 2" xfId="1859" xr:uid="{00000000-0005-0000-0000-00003B070000}"/>
    <cellStyle name="千分位 3 2 2 6" xfId="1860" xr:uid="{00000000-0005-0000-0000-00003C070000}"/>
    <cellStyle name="千分位 3 2 3" xfId="1861" xr:uid="{00000000-0005-0000-0000-00003D070000}"/>
    <cellStyle name="千分位 3 2 3 2" xfId="1862" xr:uid="{00000000-0005-0000-0000-00003E070000}"/>
    <cellStyle name="千分位 3 2 3 2 2" xfId="1863" xr:uid="{00000000-0005-0000-0000-00003F070000}"/>
    <cellStyle name="千分位 3 2 3 2 2 2" xfId="1864" xr:uid="{00000000-0005-0000-0000-000040070000}"/>
    <cellStyle name="千分位 3 2 3 2 2 2 2" xfId="1865" xr:uid="{00000000-0005-0000-0000-000041070000}"/>
    <cellStyle name="千分位 3 2 3 2 2 3" xfId="1866" xr:uid="{00000000-0005-0000-0000-000042070000}"/>
    <cellStyle name="千分位 3 2 3 2 3" xfId="1867" xr:uid="{00000000-0005-0000-0000-000043070000}"/>
    <cellStyle name="千分位 3 2 3 2 3 2" xfId="1868" xr:uid="{00000000-0005-0000-0000-000044070000}"/>
    <cellStyle name="千分位 3 2 3 2 4" xfId="1869" xr:uid="{00000000-0005-0000-0000-000045070000}"/>
    <cellStyle name="千分位 3 2 3 3" xfId="1870" xr:uid="{00000000-0005-0000-0000-000046070000}"/>
    <cellStyle name="千分位 3 2 3 3 2" xfId="1871" xr:uid="{00000000-0005-0000-0000-000047070000}"/>
    <cellStyle name="千分位 3 2 3 3 2 2" xfId="1872" xr:uid="{00000000-0005-0000-0000-000048070000}"/>
    <cellStyle name="千分位 3 2 3 3 3" xfId="1873" xr:uid="{00000000-0005-0000-0000-000049070000}"/>
    <cellStyle name="千分位 3 2 3 4" xfId="1874" xr:uid="{00000000-0005-0000-0000-00004A070000}"/>
    <cellStyle name="千分位 3 2 3 4 2" xfId="1875" xr:uid="{00000000-0005-0000-0000-00004B070000}"/>
    <cellStyle name="千分位 3 2 3 5" xfId="1876" xr:uid="{00000000-0005-0000-0000-00004C070000}"/>
    <cellStyle name="千分位 3 2 4" xfId="1877" xr:uid="{00000000-0005-0000-0000-00004D070000}"/>
    <cellStyle name="千分位 3 2 4 2" xfId="1878" xr:uid="{00000000-0005-0000-0000-00004E070000}"/>
    <cellStyle name="千分位 3 2 4 2 2" xfId="1879" xr:uid="{00000000-0005-0000-0000-00004F070000}"/>
    <cellStyle name="千分位 3 2 4 2 2 2" xfId="1880" xr:uid="{00000000-0005-0000-0000-000050070000}"/>
    <cellStyle name="千分位 3 2 4 2 3" xfId="1881" xr:uid="{00000000-0005-0000-0000-000051070000}"/>
    <cellStyle name="千分位 3 2 4 3" xfId="1882" xr:uid="{00000000-0005-0000-0000-000052070000}"/>
    <cellStyle name="千分位 3 2 4 3 2" xfId="1883" xr:uid="{00000000-0005-0000-0000-000053070000}"/>
    <cellStyle name="千分位 3 2 4 4" xfId="1884" xr:uid="{00000000-0005-0000-0000-000054070000}"/>
    <cellStyle name="千分位 3 2 5" xfId="1885" xr:uid="{00000000-0005-0000-0000-000055070000}"/>
    <cellStyle name="千分位 3 2 5 2" xfId="1886" xr:uid="{00000000-0005-0000-0000-000056070000}"/>
    <cellStyle name="千分位 3 2 5 2 2" xfId="1887" xr:uid="{00000000-0005-0000-0000-000057070000}"/>
    <cellStyle name="千分位 3 2 5 3" xfId="1888" xr:uid="{00000000-0005-0000-0000-000058070000}"/>
    <cellStyle name="千分位 3 2 6" xfId="1889" xr:uid="{00000000-0005-0000-0000-000059070000}"/>
    <cellStyle name="千分位 3 2 6 2" xfId="1890" xr:uid="{00000000-0005-0000-0000-00005A070000}"/>
    <cellStyle name="千分位 3 2 7" xfId="1891" xr:uid="{00000000-0005-0000-0000-00005B070000}"/>
    <cellStyle name="千分位 3 3" xfId="1892" xr:uid="{00000000-0005-0000-0000-00005C070000}"/>
    <cellStyle name="千分位 3 3 2" xfId="1893" xr:uid="{00000000-0005-0000-0000-00005D070000}"/>
    <cellStyle name="千分位 3 3 2 2" xfId="1894" xr:uid="{00000000-0005-0000-0000-00005E070000}"/>
    <cellStyle name="千分位 3 3 2 2 2" xfId="1895" xr:uid="{00000000-0005-0000-0000-00005F070000}"/>
    <cellStyle name="千分位 3 3 2 2 2 2" xfId="1896" xr:uid="{00000000-0005-0000-0000-000060070000}"/>
    <cellStyle name="千分位 3 3 2 2 3" xfId="1897" xr:uid="{00000000-0005-0000-0000-000061070000}"/>
    <cellStyle name="千分位 3 3 2 3" xfId="1898" xr:uid="{00000000-0005-0000-0000-000062070000}"/>
    <cellStyle name="千分位 3 3 2 3 2" xfId="1899" xr:uid="{00000000-0005-0000-0000-000063070000}"/>
    <cellStyle name="千分位 3 3 2 4" xfId="1900" xr:uid="{00000000-0005-0000-0000-000064070000}"/>
    <cellStyle name="千分位 3 3 3" xfId="1901" xr:uid="{00000000-0005-0000-0000-000065070000}"/>
    <cellStyle name="千分位 3 3 3 2" xfId="1902" xr:uid="{00000000-0005-0000-0000-000066070000}"/>
    <cellStyle name="千分位 3 3 3 2 2" xfId="1903" xr:uid="{00000000-0005-0000-0000-000067070000}"/>
    <cellStyle name="千分位 3 3 3 3" xfId="1904" xr:uid="{00000000-0005-0000-0000-000068070000}"/>
    <cellStyle name="千分位 3 3 4" xfId="1905" xr:uid="{00000000-0005-0000-0000-000069070000}"/>
    <cellStyle name="千分位 3 3 4 2" xfId="1906" xr:uid="{00000000-0005-0000-0000-00006A070000}"/>
    <cellStyle name="千分位 3 3 5" xfId="1907" xr:uid="{00000000-0005-0000-0000-00006B070000}"/>
    <cellStyle name="千分位 3 4" xfId="1908" xr:uid="{00000000-0005-0000-0000-00006C070000}"/>
    <cellStyle name="千分位 3 4 2" xfId="1909" xr:uid="{00000000-0005-0000-0000-00006D070000}"/>
    <cellStyle name="千分位 3 4 2 2" xfId="1910" xr:uid="{00000000-0005-0000-0000-00006E070000}"/>
    <cellStyle name="千分位 3 4 2 2 2" xfId="1911" xr:uid="{00000000-0005-0000-0000-00006F070000}"/>
    <cellStyle name="千分位 3 4 2 2 2 2" xfId="1912" xr:uid="{00000000-0005-0000-0000-000070070000}"/>
    <cellStyle name="千分位 3 4 2 2 3" xfId="1913" xr:uid="{00000000-0005-0000-0000-000071070000}"/>
    <cellStyle name="千分位 3 4 2 3" xfId="1914" xr:uid="{00000000-0005-0000-0000-000072070000}"/>
    <cellStyle name="千分位 3 4 2 3 2" xfId="1915" xr:uid="{00000000-0005-0000-0000-000073070000}"/>
    <cellStyle name="千分位 3 4 2 4" xfId="1916" xr:uid="{00000000-0005-0000-0000-000074070000}"/>
    <cellStyle name="千分位 3 4 3" xfId="1917" xr:uid="{00000000-0005-0000-0000-000075070000}"/>
    <cellStyle name="千分位 3 4 3 2" xfId="1918" xr:uid="{00000000-0005-0000-0000-000076070000}"/>
    <cellStyle name="千分位 3 4 3 2 2" xfId="1919" xr:uid="{00000000-0005-0000-0000-000077070000}"/>
    <cellStyle name="千分位 3 4 3 3" xfId="1920" xr:uid="{00000000-0005-0000-0000-000078070000}"/>
    <cellStyle name="千分位 3 4 4" xfId="1921" xr:uid="{00000000-0005-0000-0000-000079070000}"/>
    <cellStyle name="千分位 3 4 4 2" xfId="1922" xr:uid="{00000000-0005-0000-0000-00007A070000}"/>
    <cellStyle name="千分位 3 4 5" xfId="1923" xr:uid="{00000000-0005-0000-0000-00007B070000}"/>
    <cellStyle name="千分位 3 5" xfId="1924" xr:uid="{00000000-0005-0000-0000-00007C070000}"/>
    <cellStyle name="千分位 3 5 2" xfId="1925" xr:uid="{00000000-0005-0000-0000-00007D070000}"/>
    <cellStyle name="千分位 3 5 2 2" xfId="1926" xr:uid="{00000000-0005-0000-0000-00007E070000}"/>
    <cellStyle name="千分位 3 5 2 2 2" xfId="1927" xr:uid="{00000000-0005-0000-0000-00007F070000}"/>
    <cellStyle name="千分位 3 5 2 3" xfId="1928" xr:uid="{00000000-0005-0000-0000-000080070000}"/>
    <cellStyle name="千分位 3 5 3" xfId="1929" xr:uid="{00000000-0005-0000-0000-000081070000}"/>
    <cellStyle name="千分位 3 5 3 2" xfId="1930" xr:uid="{00000000-0005-0000-0000-000082070000}"/>
    <cellStyle name="千分位 3 5 4" xfId="1931" xr:uid="{00000000-0005-0000-0000-000083070000}"/>
    <cellStyle name="千分位 3 6" xfId="1932" xr:uid="{00000000-0005-0000-0000-000084070000}"/>
    <cellStyle name="千分位 3 6 2" xfId="1933" xr:uid="{00000000-0005-0000-0000-000085070000}"/>
    <cellStyle name="千分位 3 6 2 2" xfId="1934" xr:uid="{00000000-0005-0000-0000-000086070000}"/>
    <cellStyle name="千分位 3 6 3" xfId="1935" xr:uid="{00000000-0005-0000-0000-000087070000}"/>
    <cellStyle name="千分位 3 7" xfId="1936" xr:uid="{00000000-0005-0000-0000-000088070000}"/>
    <cellStyle name="千分位 3 7 2" xfId="1937" xr:uid="{00000000-0005-0000-0000-000089070000}"/>
    <cellStyle name="千分位 3 8" xfId="1938" xr:uid="{00000000-0005-0000-0000-00008A070000}"/>
    <cellStyle name="千分位 3 9" xfId="1827" xr:uid="{00000000-0005-0000-0000-00008B070000}"/>
    <cellStyle name="千分位 30" xfId="1939" xr:uid="{00000000-0005-0000-0000-00008C070000}"/>
    <cellStyle name="千分位 30 2" xfId="1940" xr:uid="{00000000-0005-0000-0000-00008D070000}"/>
    <cellStyle name="千分位 31" xfId="1941" xr:uid="{00000000-0005-0000-0000-00008E070000}"/>
    <cellStyle name="千分位 31 2" xfId="1942" xr:uid="{00000000-0005-0000-0000-00008F070000}"/>
    <cellStyle name="千分位 32" xfId="1943" xr:uid="{00000000-0005-0000-0000-000090070000}"/>
    <cellStyle name="千分位 32 2" xfId="1944" xr:uid="{00000000-0005-0000-0000-000091070000}"/>
    <cellStyle name="千分位 33" xfId="1945" xr:uid="{00000000-0005-0000-0000-000092070000}"/>
    <cellStyle name="千分位 33 2" xfId="1946" xr:uid="{00000000-0005-0000-0000-000093070000}"/>
    <cellStyle name="千分位 34" xfId="1947" xr:uid="{00000000-0005-0000-0000-000094070000}"/>
    <cellStyle name="千分位 35" xfId="1948" xr:uid="{00000000-0005-0000-0000-000095070000}"/>
    <cellStyle name="千分位 36" xfId="1949" xr:uid="{00000000-0005-0000-0000-000096070000}"/>
    <cellStyle name="千分位 37" xfId="1950" xr:uid="{00000000-0005-0000-0000-000097070000}"/>
    <cellStyle name="千分位 38" xfId="1951" xr:uid="{00000000-0005-0000-0000-000098070000}"/>
    <cellStyle name="千分位 39" xfId="221" xr:uid="{00000000-0005-0000-0000-000099070000}"/>
    <cellStyle name="千分位 4" xfId="4" xr:uid="{00000000-0005-0000-0000-00009A070000}"/>
    <cellStyle name="千分位 4 2" xfId="1953" xr:uid="{00000000-0005-0000-0000-00009B070000}"/>
    <cellStyle name="千分位 4 2 2" xfId="1954" xr:uid="{00000000-0005-0000-0000-00009C070000}"/>
    <cellStyle name="千分位 4 2 2 2" xfId="1955" xr:uid="{00000000-0005-0000-0000-00009D070000}"/>
    <cellStyle name="千分位 4 2 2 2 2" xfId="1956" xr:uid="{00000000-0005-0000-0000-00009E070000}"/>
    <cellStyle name="千分位 4 2 2 2 2 2" xfId="1957" xr:uid="{00000000-0005-0000-0000-00009F070000}"/>
    <cellStyle name="千分位 4 2 2 2 3" xfId="1958" xr:uid="{00000000-0005-0000-0000-0000A0070000}"/>
    <cellStyle name="千分位 4 2 2 3" xfId="1959" xr:uid="{00000000-0005-0000-0000-0000A1070000}"/>
    <cellStyle name="千分位 4 2 2 3 2" xfId="1960" xr:uid="{00000000-0005-0000-0000-0000A2070000}"/>
    <cellStyle name="千分位 4 2 2 4" xfId="1961" xr:uid="{00000000-0005-0000-0000-0000A3070000}"/>
    <cellStyle name="千分位 4 2 3" xfId="1962" xr:uid="{00000000-0005-0000-0000-0000A4070000}"/>
    <cellStyle name="千分位 4 2 3 2" xfId="1963" xr:uid="{00000000-0005-0000-0000-0000A5070000}"/>
    <cellStyle name="千分位 4 2 3 2 2" xfId="1964" xr:uid="{00000000-0005-0000-0000-0000A6070000}"/>
    <cellStyle name="千分位 4 2 3 3" xfId="1965" xr:uid="{00000000-0005-0000-0000-0000A7070000}"/>
    <cellStyle name="千分位 4 2 4" xfId="1966" xr:uid="{00000000-0005-0000-0000-0000A8070000}"/>
    <cellStyle name="千分位 4 2 4 2" xfId="1967" xr:uid="{00000000-0005-0000-0000-0000A9070000}"/>
    <cellStyle name="千分位 4 2 5" xfId="1968" xr:uid="{00000000-0005-0000-0000-0000AA070000}"/>
    <cellStyle name="千分位 4 3" xfId="1969" xr:uid="{00000000-0005-0000-0000-0000AB070000}"/>
    <cellStyle name="千分位 4 3 2" xfId="1970" xr:uid="{00000000-0005-0000-0000-0000AC070000}"/>
    <cellStyle name="千分位 4 3 2 2" xfId="1971" xr:uid="{00000000-0005-0000-0000-0000AD070000}"/>
    <cellStyle name="千分位 4 3 2 2 2" xfId="1972" xr:uid="{00000000-0005-0000-0000-0000AE070000}"/>
    <cellStyle name="千分位 4 3 2 3" xfId="1973" xr:uid="{00000000-0005-0000-0000-0000AF070000}"/>
    <cellStyle name="千分位 4 3 3" xfId="1974" xr:uid="{00000000-0005-0000-0000-0000B0070000}"/>
    <cellStyle name="千分位 4 3 3 2" xfId="1975" xr:uid="{00000000-0005-0000-0000-0000B1070000}"/>
    <cellStyle name="千分位 4 3 4" xfId="1976" xr:uid="{00000000-0005-0000-0000-0000B2070000}"/>
    <cellStyle name="千分位 4 4" xfId="1977" xr:uid="{00000000-0005-0000-0000-0000B3070000}"/>
    <cellStyle name="千分位 4 4 2" xfId="1978" xr:uid="{00000000-0005-0000-0000-0000B4070000}"/>
    <cellStyle name="千分位 4 4 2 2" xfId="1979" xr:uid="{00000000-0005-0000-0000-0000B5070000}"/>
    <cellStyle name="千分位 4 4 3" xfId="1980" xr:uid="{00000000-0005-0000-0000-0000B6070000}"/>
    <cellStyle name="千分位 4 5" xfId="1981" xr:uid="{00000000-0005-0000-0000-0000B7070000}"/>
    <cellStyle name="千分位 4 5 2" xfId="1982" xr:uid="{00000000-0005-0000-0000-0000B8070000}"/>
    <cellStyle name="千分位 4 6" xfId="1983" xr:uid="{00000000-0005-0000-0000-0000B9070000}"/>
    <cellStyle name="千分位 4 7" xfId="1952" xr:uid="{00000000-0005-0000-0000-0000BA070000}"/>
    <cellStyle name="千分位 40" xfId="2596" xr:uid="{00000000-0005-0000-0000-0000BB070000}"/>
    <cellStyle name="千分位 41" xfId="2598" xr:uid="{00000000-0005-0000-0000-0000BC070000}"/>
    <cellStyle name="千分位 5" xfId="6" xr:uid="{00000000-0005-0000-0000-0000BD070000}"/>
    <cellStyle name="千分位 5 2" xfId="1985" xr:uid="{00000000-0005-0000-0000-0000BE070000}"/>
    <cellStyle name="千分位 5 2 2" xfId="1986" xr:uid="{00000000-0005-0000-0000-0000BF070000}"/>
    <cellStyle name="千分位 5 2 2 2" xfId="1987" xr:uid="{00000000-0005-0000-0000-0000C0070000}"/>
    <cellStyle name="千分位 5 2 2 2 2" xfId="1988" xr:uid="{00000000-0005-0000-0000-0000C1070000}"/>
    <cellStyle name="千分位 5 2 2 3" xfId="1989" xr:uid="{00000000-0005-0000-0000-0000C2070000}"/>
    <cellStyle name="千分位 5 2 3" xfId="1990" xr:uid="{00000000-0005-0000-0000-0000C3070000}"/>
    <cellStyle name="千分位 5 2 3 2" xfId="1991" xr:uid="{00000000-0005-0000-0000-0000C4070000}"/>
    <cellStyle name="千分位 5 2 4" xfId="1992" xr:uid="{00000000-0005-0000-0000-0000C5070000}"/>
    <cellStyle name="千分位 5 3" xfId="1993" xr:uid="{00000000-0005-0000-0000-0000C6070000}"/>
    <cellStyle name="千分位 5 3 2" xfId="1994" xr:uid="{00000000-0005-0000-0000-0000C7070000}"/>
    <cellStyle name="千分位 5 3 2 2" xfId="1995" xr:uid="{00000000-0005-0000-0000-0000C8070000}"/>
    <cellStyle name="千分位 5 3 3" xfId="1996" xr:uid="{00000000-0005-0000-0000-0000C9070000}"/>
    <cellStyle name="千分位 5 4" xfId="1997" xr:uid="{00000000-0005-0000-0000-0000CA070000}"/>
    <cellStyle name="千分位 5 4 2" xfId="1998" xr:uid="{00000000-0005-0000-0000-0000CB070000}"/>
    <cellStyle name="千分位 5 5" xfId="1999" xr:uid="{00000000-0005-0000-0000-0000CC070000}"/>
    <cellStyle name="千分位 5 6" xfId="1984" xr:uid="{00000000-0005-0000-0000-0000CD070000}"/>
    <cellStyle name="千分位 6" xfId="10" xr:uid="{00000000-0005-0000-0000-0000CE070000}"/>
    <cellStyle name="千分位 6 2" xfId="2001" xr:uid="{00000000-0005-0000-0000-0000CF070000}"/>
    <cellStyle name="千分位 6 2 2" xfId="2002" xr:uid="{00000000-0005-0000-0000-0000D0070000}"/>
    <cellStyle name="千分位 6 2 2 2" xfId="2003" xr:uid="{00000000-0005-0000-0000-0000D1070000}"/>
    <cellStyle name="千分位 6 2 2 2 2" xfId="2004" xr:uid="{00000000-0005-0000-0000-0000D2070000}"/>
    <cellStyle name="千分位 6 2 2 3" xfId="2005" xr:uid="{00000000-0005-0000-0000-0000D3070000}"/>
    <cellStyle name="千分位 6 2 3" xfId="2006" xr:uid="{00000000-0005-0000-0000-0000D4070000}"/>
    <cellStyle name="千分位 6 2 3 2" xfId="2007" xr:uid="{00000000-0005-0000-0000-0000D5070000}"/>
    <cellStyle name="千分位 6 2 4" xfId="2008" xr:uid="{00000000-0005-0000-0000-0000D6070000}"/>
    <cellStyle name="千分位 6 3" xfId="2009" xr:uid="{00000000-0005-0000-0000-0000D7070000}"/>
    <cellStyle name="千分位 6 3 2" xfId="2010" xr:uid="{00000000-0005-0000-0000-0000D8070000}"/>
    <cellStyle name="千分位 6 3 2 2" xfId="2011" xr:uid="{00000000-0005-0000-0000-0000D9070000}"/>
    <cellStyle name="千分位 6 3 3" xfId="2012" xr:uid="{00000000-0005-0000-0000-0000DA070000}"/>
    <cellStyle name="千分位 6 4" xfId="2013" xr:uid="{00000000-0005-0000-0000-0000DB070000}"/>
    <cellStyle name="千分位 6 4 2" xfId="2014" xr:uid="{00000000-0005-0000-0000-0000DC070000}"/>
    <cellStyle name="千分位 6 5" xfId="2015" xr:uid="{00000000-0005-0000-0000-0000DD070000}"/>
    <cellStyle name="千分位 6 6" xfId="2000" xr:uid="{00000000-0005-0000-0000-0000DE070000}"/>
    <cellStyle name="千分位 7" xfId="12" xr:uid="{00000000-0005-0000-0000-0000DF070000}"/>
    <cellStyle name="千分位 7 2" xfId="2017" xr:uid="{00000000-0005-0000-0000-0000E0070000}"/>
    <cellStyle name="千分位 7 2 2" xfId="2018" xr:uid="{00000000-0005-0000-0000-0000E1070000}"/>
    <cellStyle name="千分位 7 2 2 2" xfId="2019" xr:uid="{00000000-0005-0000-0000-0000E2070000}"/>
    <cellStyle name="千分位 7 2 2 2 2" xfId="2020" xr:uid="{00000000-0005-0000-0000-0000E3070000}"/>
    <cellStyle name="千分位 7 2 2 2 2 2" xfId="2021" xr:uid="{00000000-0005-0000-0000-0000E4070000}"/>
    <cellStyle name="千分位 7 2 2 2 2 2 2" xfId="2022" xr:uid="{00000000-0005-0000-0000-0000E5070000}"/>
    <cellStyle name="千分位 7 2 2 2 2 2 2 2" xfId="2023" xr:uid="{00000000-0005-0000-0000-0000E6070000}"/>
    <cellStyle name="千分位 7 2 2 2 2 2 3" xfId="2024" xr:uid="{00000000-0005-0000-0000-0000E7070000}"/>
    <cellStyle name="千分位 7 2 2 2 2 3" xfId="2025" xr:uid="{00000000-0005-0000-0000-0000E8070000}"/>
    <cellStyle name="千分位 7 2 2 2 2 3 2" xfId="2026" xr:uid="{00000000-0005-0000-0000-0000E9070000}"/>
    <cellStyle name="千分位 7 2 2 2 2 4" xfId="2027" xr:uid="{00000000-0005-0000-0000-0000EA070000}"/>
    <cellStyle name="千分位 7 2 2 2 3" xfId="2028" xr:uid="{00000000-0005-0000-0000-0000EB070000}"/>
    <cellStyle name="千分位 7 2 2 2 3 2" xfId="2029" xr:uid="{00000000-0005-0000-0000-0000EC070000}"/>
    <cellStyle name="千分位 7 2 2 2 3 2 2" xfId="2030" xr:uid="{00000000-0005-0000-0000-0000ED070000}"/>
    <cellStyle name="千分位 7 2 2 2 3 3" xfId="2031" xr:uid="{00000000-0005-0000-0000-0000EE070000}"/>
    <cellStyle name="千分位 7 2 2 2 4" xfId="2032" xr:uid="{00000000-0005-0000-0000-0000EF070000}"/>
    <cellStyle name="千分位 7 2 2 2 4 2" xfId="2033" xr:uid="{00000000-0005-0000-0000-0000F0070000}"/>
    <cellStyle name="千分位 7 2 2 2 5" xfId="2034" xr:uid="{00000000-0005-0000-0000-0000F1070000}"/>
    <cellStyle name="千分位 7 2 2 3" xfId="2035" xr:uid="{00000000-0005-0000-0000-0000F2070000}"/>
    <cellStyle name="千分位 7 2 2 3 2" xfId="2036" xr:uid="{00000000-0005-0000-0000-0000F3070000}"/>
    <cellStyle name="千分位 7 2 2 3 2 2" xfId="2037" xr:uid="{00000000-0005-0000-0000-0000F4070000}"/>
    <cellStyle name="千分位 7 2 2 3 2 2 2" xfId="2038" xr:uid="{00000000-0005-0000-0000-0000F5070000}"/>
    <cellStyle name="千分位 7 2 2 3 2 3" xfId="2039" xr:uid="{00000000-0005-0000-0000-0000F6070000}"/>
    <cellStyle name="千分位 7 2 2 3 3" xfId="2040" xr:uid="{00000000-0005-0000-0000-0000F7070000}"/>
    <cellStyle name="千分位 7 2 2 3 3 2" xfId="2041" xr:uid="{00000000-0005-0000-0000-0000F8070000}"/>
    <cellStyle name="千分位 7 2 2 3 4" xfId="2042" xr:uid="{00000000-0005-0000-0000-0000F9070000}"/>
    <cellStyle name="千分位 7 2 2 4" xfId="2043" xr:uid="{00000000-0005-0000-0000-0000FA070000}"/>
    <cellStyle name="千分位 7 2 2 4 2" xfId="2044" xr:uid="{00000000-0005-0000-0000-0000FB070000}"/>
    <cellStyle name="千分位 7 2 2 4 2 2" xfId="2045" xr:uid="{00000000-0005-0000-0000-0000FC070000}"/>
    <cellStyle name="千分位 7 2 2 4 3" xfId="2046" xr:uid="{00000000-0005-0000-0000-0000FD070000}"/>
    <cellStyle name="千分位 7 2 2 5" xfId="2047" xr:uid="{00000000-0005-0000-0000-0000FE070000}"/>
    <cellStyle name="千分位 7 2 2 5 2" xfId="2048" xr:uid="{00000000-0005-0000-0000-0000FF070000}"/>
    <cellStyle name="千分位 7 2 2 6" xfId="2049" xr:uid="{00000000-0005-0000-0000-000000080000}"/>
    <cellStyle name="千分位 7 2 3" xfId="2050" xr:uid="{00000000-0005-0000-0000-000001080000}"/>
    <cellStyle name="千分位 7 2 3 2" xfId="2051" xr:uid="{00000000-0005-0000-0000-000002080000}"/>
    <cellStyle name="千分位 7 2 3 2 2" xfId="2052" xr:uid="{00000000-0005-0000-0000-000003080000}"/>
    <cellStyle name="千分位 7 2 3 2 2 2" xfId="2053" xr:uid="{00000000-0005-0000-0000-000004080000}"/>
    <cellStyle name="千分位 7 2 3 2 2 2 2" xfId="2054" xr:uid="{00000000-0005-0000-0000-000005080000}"/>
    <cellStyle name="千分位 7 2 3 2 2 3" xfId="2055" xr:uid="{00000000-0005-0000-0000-000006080000}"/>
    <cellStyle name="千分位 7 2 3 2 3" xfId="2056" xr:uid="{00000000-0005-0000-0000-000007080000}"/>
    <cellStyle name="千分位 7 2 3 2 3 2" xfId="2057" xr:uid="{00000000-0005-0000-0000-000008080000}"/>
    <cellStyle name="千分位 7 2 3 2 4" xfId="2058" xr:uid="{00000000-0005-0000-0000-000009080000}"/>
    <cellStyle name="千分位 7 2 3 3" xfId="2059" xr:uid="{00000000-0005-0000-0000-00000A080000}"/>
    <cellStyle name="千分位 7 2 3 3 2" xfId="2060" xr:uid="{00000000-0005-0000-0000-00000B080000}"/>
    <cellStyle name="千分位 7 2 3 3 2 2" xfId="2061" xr:uid="{00000000-0005-0000-0000-00000C080000}"/>
    <cellStyle name="千分位 7 2 3 3 3" xfId="2062" xr:uid="{00000000-0005-0000-0000-00000D080000}"/>
    <cellStyle name="千分位 7 2 3 4" xfId="2063" xr:uid="{00000000-0005-0000-0000-00000E080000}"/>
    <cellStyle name="千分位 7 2 3 4 2" xfId="2064" xr:uid="{00000000-0005-0000-0000-00000F080000}"/>
    <cellStyle name="千分位 7 2 3 5" xfId="2065" xr:uid="{00000000-0005-0000-0000-000010080000}"/>
    <cellStyle name="千分位 7 2 4" xfId="2066" xr:uid="{00000000-0005-0000-0000-000011080000}"/>
    <cellStyle name="千分位 7 2 4 2" xfId="2067" xr:uid="{00000000-0005-0000-0000-000012080000}"/>
    <cellStyle name="千分位 7 2 4 2 2" xfId="2068" xr:uid="{00000000-0005-0000-0000-000013080000}"/>
    <cellStyle name="千分位 7 2 4 2 2 2" xfId="2069" xr:uid="{00000000-0005-0000-0000-000014080000}"/>
    <cellStyle name="千分位 7 2 4 2 3" xfId="2070" xr:uid="{00000000-0005-0000-0000-000015080000}"/>
    <cellStyle name="千分位 7 2 4 3" xfId="2071" xr:uid="{00000000-0005-0000-0000-000016080000}"/>
    <cellStyle name="千分位 7 2 4 3 2" xfId="2072" xr:uid="{00000000-0005-0000-0000-000017080000}"/>
    <cellStyle name="千分位 7 2 4 4" xfId="2073" xr:uid="{00000000-0005-0000-0000-000018080000}"/>
    <cellStyle name="千分位 7 2 5" xfId="2074" xr:uid="{00000000-0005-0000-0000-000019080000}"/>
    <cellStyle name="千分位 7 2 5 2" xfId="2075" xr:uid="{00000000-0005-0000-0000-00001A080000}"/>
    <cellStyle name="千分位 7 2 5 2 2" xfId="2076" xr:uid="{00000000-0005-0000-0000-00001B080000}"/>
    <cellStyle name="千分位 7 2 5 3" xfId="2077" xr:uid="{00000000-0005-0000-0000-00001C080000}"/>
    <cellStyle name="千分位 7 2 6" xfId="2078" xr:uid="{00000000-0005-0000-0000-00001D080000}"/>
    <cellStyle name="千分位 7 2 6 2" xfId="2079" xr:uid="{00000000-0005-0000-0000-00001E080000}"/>
    <cellStyle name="千分位 7 2 7" xfId="2080" xr:uid="{00000000-0005-0000-0000-00001F080000}"/>
    <cellStyle name="千分位 7 3" xfId="2081" xr:uid="{00000000-0005-0000-0000-000020080000}"/>
    <cellStyle name="千分位 7 3 2" xfId="2082" xr:uid="{00000000-0005-0000-0000-000021080000}"/>
    <cellStyle name="千分位 7 3 2 2" xfId="2083" xr:uid="{00000000-0005-0000-0000-000022080000}"/>
    <cellStyle name="千分位 7 3 2 2 2" xfId="2084" xr:uid="{00000000-0005-0000-0000-000023080000}"/>
    <cellStyle name="千分位 7 3 2 2 2 2" xfId="2085" xr:uid="{00000000-0005-0000-0000-000024080000}"/>
    <cellStyle name="千分位 7 3 2 2 2 2 2" xfId="2086" xr:uid="{00000000-0005-0000-0000-000025080000}"/>
    <cellStyle name="千分位 7 3 2 2 2 3" xfId="2087" xr:uid="{00000000-0005-0000-0000-000026080000}"/>
    <cellStyle name="千分位 7 3 2 2 3" xfId="2088" xr:uid="{00000000-0005-0000-0000-000027080000}"/>
    <cellStyle name="千分位 7 3 2 2 3 2" xfId="2089" xr:uid="{00000000-0005-0000-0000-000028080000}"/>
    <cellStyle name="千分位 7 3 2 2 4" xfId="2090" xr:uid="{00000000-0005-0000-0000-000029080000}"/>
    <cellStyle name="千分位 7 3 2 3" xfId="2091" xr:uid="{00000000-0005-0000-0000-00002A080000}"/>
    <cellStyle name="千分位 7 3 2 3 2" xfId="2092" xr:uid="{00000000-0005-0000-0000-00002B080000}"/>
    <cellStyle name="千分位 7 3 2 3 2 2" xfId="2093" xr:uid="{00000000-0005-0000-0000-00002C080000}"/>
    <cellStyle name="千分位 7 3 2 3 3" xfId="2094" xr:uid="{00000000-0005-0000-0000-00002D080000}"/>
    <cellStyle name="千分位 7 3 2 4" xfId="2095" xr:uid="{00000000-0005-0000-0000-00002E080000}"/>
    <cellStyle name="千分位 7 3 2 4 2" xfId="2096" xr:uid="{00000000-0005-0000-0000-00002F080000}"/>
    <cellStyle name="千分位 7 3 2 5" xfId="2097" xr:uid="{00000000-0005-0000-0000-000030080000}"/>
    <cellStyle name="千分位 7 3 3" xfId="2098" xr:uid="{00000000-0005-0000-0000-000031080000}"/>
    <cellStyle name="千分位 7 3 3 2" xfId="2099" xr:uid="{00000000-0005-0000-0000-000032080000}"/>
    <cellStyle name="千分位 7 3 3 2 2" xfId="2100" xr:uid="{00000000-0005-0000-0000-000033080000}"/>
    <cellStyle name="千分位 7 3 3 2 2 2" xfId="2101" xr:uid="{00000000-0005-0000-0000-000034080000}"/>
    <cellStyle name="千分位 7 3 3 2 3" xfId="2102" xr:uid="{00000000-0005-0000-0000-000035080000}"/>
    <cellStyle name="千分位 7 3 3 3" xfId="2103" xr:uid="{00000000-0005-0000-0000-000036080000}"/>
    <cellStyle name="千分位 7 3 3 3 2" xfId="2104" xr:uid="{00000000-0005-0000-0000-000037080000}"/>
    <cellStyle name="千分位 7 3 3 4" xfId="2105" xr:uid="{00000000-0005-0000-0000-000038080000}"/>
    <cellStyle name="千分位 7 3 4" xfId="2106" xr:uid="{00000000-0005-0000-0000-000039080000}"/>
    <cellStyle name="千分位 7 3 4 2" xfId="2107" xr:uid="{00000000-0005-0000-0000-00003A080000}"/>
    <cellStyle name="千分位 7 3 4 2 2" xfId="2108" xr:uid="{00000000-0005-0000-0000-00003B080000}"/>
    <cellStyle name="千分位 7 3 4 3" xfId="2109" xr:uid="{00000000-0005-0000-0000-00003C080000}"/>
    <cellStyle name="千分位 7 3 5" xfId="2110" xr:uid="{00000000-0005-0000-0000-00003D080000}"/>
    <cellStyle name="千分位 7 3 5 2" xfId="2111" xr:uid="{00000000-0005-0000-0000-00003E080000}"/>
    <cellStyle name="千分位 7 3 6" xfId="2112" xr:uid="{00000000-0005-0000-0000-00003F080000}"/>
    <cellStyle name="千分位 7 4" xfId="2113" xr:uid="{00000000-0005-0000-0000-000040080000}"/>
    <cellStyle name="千分位 7 4 2" xfId="2114" xr:uid="{00000000-0005-0000-0000-000041080000}"/>
    <cellStyle name="千分位 7 4 2 2" xfId="2115" xr:uid="{00000000-0005-0000-0000-000042080000}"/>
    <cellStyle name="千分位 7 4 2 2 2" xfId="2116" xr:uid="{00000000-0005-0000-0000-000043080000}"/>
    <cellStyle name="千分位 7 4 2 2 2 2" xfId="2117" xr:uid="{00000000-0005-0000-0000-000044080000}"/>
    <cellStyle name="千分位 7 4 2 2 3" xfId="2118" xr:uid="{00000000-0005-0000-0000-000045080000}"/>
    <cellStyle name="千分位 7 4 2 3" xfId="2119" xr:uid="{00000000-0005-0000-0000-000046080000}"/>
    <cellStyle name="千分位 7 4 2 3 2" xfId="2120" xr:uid="{00000000-0005-0000-0000-000047080000}"/>
    <cellStyle name="千分位 7 4 2 4" xfId="2121" xr:uid="{00000000-0005-0000-0000-000048080000}"/>
    <cellStyle name="千分位 7 4 3" xfId="2122" xr:uid="{00000000-0005-0000-0000-000049080000}"/>
    <cellStyle name="千分位 7 4 3 2" xfId="2123" xr:uid="{00000000-0005-0000-0000-00004A080000}"/>
    <cellStyle name="千分位 7 4 3 2 2" xfId="2124" xr:uid="{00000000-0005-0000-0000-00004B080000}"/>
    <cellStyle name="千分位 7 4 3 3" xfId="2125" xr:uid="{00000000-0005-0000-0000-00004C080000}"/>
    <cellStyle name="千分位 7 4 4" xfId="2126" xr:uid="{00000000-0005-0000-0000-00004D080000}"/>
    <cellStyle name="千分位 7 4 4 2" xfId="2127" xr:uid="{00000000-0005-0000-0000-00004E080000}"/>
    <cellStyle name="千分位 7 4 5" xfId="2128" xr:uid="{00000000-0005-0000-0000-00004F080000}"/>
    <cellStyle name="千分位 7 5" xfId="2129" xr:uid="{00000000-0005-0000-0000-000050080000}"/>
    <cellStyle name="千分位 7 5 2" xfId="2130" xr:uid="{00000000-0005-0000-0000-000051080000}"/>
    <cellStyle name="千分位 7 5 2 2" xfId="2131" xr:uid="{00000000-0005-0000-0000-000052080000}"/>
    <cellStyle name="千分位 7 5 2 2 2" xfId="2132" xr:uid="{00000000-0005-0000-0000-000053080000}"/>
    <cellStyle name="千分位 7 5 2 3" xfId="2133" xr:uid="{00000000-0005-0000-0000-000054080000}"/>
    <cellStyle name="千分位 7 5 3" xfId="2134" xr:uid="{00000000-0005-0000-0000-000055080000}"/>
    <cellStyle name="千分位 7 5 3 2" xfId="2135" xr:uid="{00000000-0005-0000-0000-000056080000}"/>
    <cellStyle name="千分位 7 5 4" xfId="2136" xr:uid="{00000000-0005-0000-0000-000057080000}"/>
    <cellStyle name="千分位 7 6" xfId="2137" xr:uid="{00000000-0005-0000-0000-000058080000}"/>
    <cellStyle name="千分位 7 6 2" xfId="2138" xr:uid="{00000000-0005-0000-0000-000059080000}"/>
    <cellStyle name="千分位 7 6 2 2" xfId="2139" xr:uid="{00000000-0005-0000-0000-00005A080000}"/>
    <cellStyle name="千分位 7 6 3" xfId="2140" xr:uid="{00000000-0005-0000-0000-00005B080000}"/>
    <cellStyle name="千分位 7 7" xfId="2141" xr:uid="{00000000-0005-0000-0000-00005C080000}"/>
    <cellStyle name="千分位 7 7 2" xfId="2142" xr:uid="{00000000-0005-0000-0000-00005D080000}"/>
    <cellStyle name="千分位 7 8" xfId="2143" xr:uid="{00000000-0005-0000-0000-00005E080000}"/>
    <cellStyle name="千分位 7 9" xfId="2016" xr:uid="{00000000-0005-0000-0000-00005F080000}"/>
    <cellStyle name="千分位 8" xfId="14" xr:uid="{00000000-0005-0000-0000-000060080000}"/>
    <cellStyle name="千分位 8 2" xfId="2145" xr:uid="{00000000-0005-0000-0000-000061080000}"/>
    <cellStyle name="千分位 8 2 2" xfId="2146" xr:uid="{00000000-0005-0000-0000-000062080000}"/>
    <cellStyle name="千分位 8 2 2 2" xfId="2147" xr:uid="{00000000-0005-0000-0000-000063080000}"/>
    <cellStyle name="千分位 8 2 2 2 2" xfId="2148" xr:uid="{00000000-0005-0000-0000-000064080000}"/>
    <cellStyle name="千分位 8 2 2 2 2 2" xfId="2149" xr:uid="{00000000-0005-0000-0000-000065080000}"/>
    <cellStyle name="千分位 8 2 2 2 2 2 2" xfId="2150" xr:uid="{00000000-0005-0000-0000-000066080000}"/>
    <cellStyle name="千分位 8 2 2 2 2 2 2 2" xfId="2151" xr:uid="{00000000-0005-0000-0000-000067080000}"/>
    <cellStyle name="千分位 8 2 2 2 2 2 3" xfId="2152" xr:uid="{00000000-0005-0000-0000-000068080000}"/>
    <cellStyle name="千分位 8 2 2 2 2 3" xfId="2153" xr:uid="{00000000-0005-0000-0000-000069080000}"/>
    <cellStyle name="千分位 8 2 2 2 2 3 2" xfId="2154" xr:uid="{00000000-0005-0000-0000-00006A080000}"/>
    <cellStyle name="千分位 8 2 2 2 2 4" xfId="2155" xr:uid="{00000000-0005-0000-0000-00006B080000}"/>
    <cellStyle name="千分位 8 2 2 2 3" xfId="2156" xr:uid="{00000000-0005-0000-0000-00006C080000}"/>
    <cellStyle name="千分位 8 2 2 2 3 2" xfId="2157" xr:uid="{00000000-0005-0000-0000-00006D080000}"/>
    <cellStyle name="千分位 8 2 2 2 3 2 2" xfId="2158" xr:uid="{00000000-0005-0000-0000-00006E080000}"/>
    <cellStyle name="千分位 8 2 2 2 3 3" xfId="2159" xr:uid="{00000000-0005-0000-0000-00006F080000}"/>
    <cellStyle name="千分位 8 2 2 2 4" xfId="2160" xr:uid="{00000000-0005-0000-0000-000070080000}"/>
    <cellStyle name="千分位 8 2 2 2 4 2" xfId="2161" xr:uid="{00000000-0005-0000-0000-000071080000}"/>
    <cellStyle name="千分位 8 2 2 2 5" xfId="2162" xr:uid="{00000000-0005-0000-0000-000072080000}"/>
    <cellStyle name="千分位 8 2 2 3" xfId="2163" xr:uid="{00000000-0005-0000-0000-000073080000}"/>
    <cellStyle name="千分位 8 2 2 3 2" xfId="2164" xr:uid="{00000000-0005-0000-0000-000074080000}"/>
    <cellStyle name="千分位 8 2 2 3 2 2" xfId="2165" xr:uid="{00000000-0005-0000-0000-000075080000}"/>
    <cellStyle name="千分位 8 2 2 3 2 2 2" xfId="2166" xr:uid="{00000000-0005-0000-0000-000076080000}"/>
    <cellStyle name="千分位 8 2 2 3 2 3" xfId="2167" xr:uid="{00000000-0005-0000-0000-000077080000}"/>
    <cellStyle name="千分位 8 2 2 3 3" xfId="2168" xr:uid="{00000000-0005-0000-0000-000078080000}"/>
    <cellStyle name="千分位 8 2 2 3 3 2" xfId="2169" xr:uid="{00000000-0005-0000-0000-000079080000}"/>
    <cellStyle name="千分位 8 2 2 3 4" xfId="2170" xr:uid="{00000000-0005-0000-0000-00007A080000}"/>
    <cellStyle name="千分位 8 2 2 4" xfId="2171" xr:uid="{00000000-0005-0000-0000-00007B080000}"/>
    <cellStyle name="千分位 8 2 2 4 2" xfId="2172" xr:uid="{00000000-0005-0000-0000-00007C080000}"/>
    <cellStyle name="千分位 8 2 2 4 2 2" xfId="2173" xr:uid="{00000000-0005-0000-0000-00007D080000}"/>
    <cellStyle name="千分位 8 2 2 4 3" xfId="2174" xr:uid="{00000000-0005-0000-0000-00007E080000}"/>
    <cellStyle name="千分位 8 2 2 5" xfId="2175" xr:uid="{00000000-0005-0000-0000-00007F080000}"/>
    <cellStyle name="千分位 8 2 2 5 2" xfId="2176" xr:uid="{00000000-0005-0000-0000-000080080000}"/>
    <cellStyle name="千分位 8 2 2 6" xfId="2177" xr:uid="{00000000-0005-0000-0000-000081080000}"/>
    <cellStyle name="千分位 8 2 3" xfId="2178" xr:uid="{00000000-0005-0000-0000-000082080000}"/>
    <cellStyle name="千分位 8 2 3 2" xfId="2179" xr:uid="{00000000-0005-0000-0000-000083080000}"/>
    <cellStyle name="千分位 8 2 3 2 2" xfId="2180" xr:uid="{00000000-0005-0000-0000-000084080000}"/>
    <cellStyle name="千分位 8 2 3 2 2 2" xfId="2181" xr:uid="{00000000-0005-0000-0000-000085080000}"/>
    <cellStyle name="千分位 8 2 3 2 2 2 2" xfId="2182" xr:uid="{00000000-0005-0000-0000-000086080000}"/>
    <cellStyle name="千分位 8 2 3 2 2 3" xfId="2183" xr:uid="{00000000-0005-0000-0000-000087080000}"/>
    <cellStyle name="千分位 8 2 3 2 3" xfId="2184" xr:uid="{00000000-0005-0000-0000-000088080000}"/>
    <cellStyle name="千分位 8 2 3 2 3 2" xfId="2185" xr:uid="{00000000-0005-0000-0000-000089080000}"/>
    <cellStyle name="千分位 8 2 3 2 4" xfId="2186" xr:uid="{00000000-0005-0000-0000-00008A080000}"/>
    <cellStyle name="千分位 8 2 3 3" xfId="2187" xr:uid="{00000000-0005-0000-0000-00008B080000}"/>
    <cellStyle name="千分位 8 2 3 3 2" xfId="2188" xr:uid="{00000000-0005-0000-0000-00008C080000}"/>
    <cellStyle name="千分位 8 2 3 3 2 2" xfId="2189" xr:uid="{00000000-0005-0000-0000-00008D080000}"/>
    <cellStyle name="千分位 8 2 3 3 3" xfId="2190" xr:uid="{00000000-0005-0000-0000-00008E080000}"/>
    <cellStyle name="千分位 8 2 3 4" xfId="2191" xr:uid="{00000000-0005-0000-0000-00008F080000}"/>
    <cellStyle name="千分位 8 2 3 4 2" xfId="2192" xr:uid="{00000000-0005-0000-0000-000090080000}"/>
    <cellStyle name="千分位 8 2 3 5" xfId="2193" xr:uid="{00000000-0005-0000-0000-000091080000}"/>
    <cellStyle name="千分位 8 2 4" xfId="2194" xr:uid="{00000000-0005-0000-0000-000092080000}"/>
    <cellStyle name="千分位 8 2 4 2" xfId="2195" xr:uid="{00000000-0005-0000-0000-000093080000}"/>
    <cellStyle name="千分位 8 2 4 2 2" xfId="2196" xr:uid="{00000000-0005-0000-0000-000094080000}"/>
    <cellStyle name="千分位 8 2 4 2 2 2" xfId="2197" xr:uid="{00000000-0005-0000-0000-000095080000}"/>
    <cellStyle name="千分位 8 2 4 2 3" xfId="2198" xr:uid="{00000000-0005-0000-0000-000096080000}"/>
    <cellStyle name="千分位 8 2 4 3" xfId="2199" xr:uid="{00000000-0005-0000-0000-000097080000}"/>
    <cellStyle name="千分位 8 2 4 3 2" xfId="2200" xr:uid="{00000000-0005-0000-0000-000098080000}"/>
    <cellStyle name="千分位 8 2 4 4" xfId="2201" xr:uid="{00000000-0005-0000-0000-000099080000}"/>
    <cellStyle name="千分位 8 2 5" xfId="2202" xr:uid="{00000000-0005-0000-0000-00009A080000}"/>
    <cellStyle name="千分位 8 2 5 2" xfId="2203" xr:uid="{00000000-0005-0000-0000-00009B080000}"/>
    <cellStyle name="千分位 8 2 5 2 2" xfId="2204" xr:uid="{00000000-0005-0000-0000-00009C080000}"/>
    <cellStyle name="千分位 8 2 5 3" xfId="2205" xr:uid="{00000000-0005-0000-0000-00009D080000}"/>
    <cellStyle name="千分位 8 2 6" xfId="2206" xr:uid="{00000000-0005-0000-0000-00009E080000}"/>
    <cellStyle name="千分位 8 2 6 2" xfId="2207" xr:uid="{00000000-0005-0000-0000-00009F080000}"/>
    <cellStyle name="千分位 8 2 7" xfId="2208" xr:uid="{00000000-0005-0000-0000-0000A0080000}"/>
    <cellStyle name="千分位 8 3" xfId="2209" xr:uid="{00000000-0005-0000-0000-0000A1080000}"/>
    <cellStyle name="千分位 8 3 2" xfId="2210" xr:uid="{00000000-0005-0000-0000-0000A2080000}"/>
    <cellStyle name="千分位 8 3 2 2" xfId="2211" xr:uid="{00000000-0005-0000-0000-0000A3080000}"/>
    <cellStyle name="千分位 8 3 2 2 2" xfId="2212" xr:uid="{00000000-0005-0000-0000-0000A4080000}"/>
    <cellStyle name="千分位 8 3 2 2 2 2" xfId="2213" xr:uid="{00000000-0005-0000-0000-0000A5080000}"/>
    <cellStyle name="千分位 8 3 2 2 2 2 2" xfId="2214" xr:uid="{00000000-0005-0000-0000-0000A6080000}"/>
    <cellStyle name="千分位 8 3 2 2 2 3" xfId="2215" xr:uid="{00000000-0005-0000-0000-0000A7080000}"/>
    <cellStyle name="千分位 8 3 2 2 3" xfId="2216" xr:uid="{00000000-0005-0000-0000-0000A8080000}"/>
    <cellStyle name="千分位 8 3 2 2 3 2" xfId="2217" xr:uid="{00000000-0005-0000-0000-0000A9080000}"/>
    <cellStyle name="千分位 8 3 2 2 4" xfId="2218" xr:uid="{00000000-0005-0000-0000-0000AA080000}"/>
    <cellStyle name="千分位 8 3 2 3" xfId="2219" xr:uid="{00000000-0005-0000-0000-0000AB080000}"/>
    <cellStyle name="千分位 8 3 2 3 2" xfId="2220" xr:uid="{00000000-0005-0000-0000-0000AC080000}"/>
    <cellStyle name="千分位 8 3 2 3 2 2" xfId="2221" xr:uid="{00000000-0005-0000-0000-0000AD080000}"/>
    <cellStyle name="千分位 8 3 2 3 3" xfId="2222" xr:uid="{00000000-0005-0000-0000-0000AE080000}"/>
    <cellStyle name="千分位 8 3 2 4" xfId="2223" xr:uid="{00000000-0005-0000-0000-0000AF080000}"/>
    <cellStyle name="千分位 8 3 2 4 2" xfId="2224" xr:uid="{00000000-0005-0000-0000-0000B0080000}"/>
    <cellStyle name="千分位 8 3 2 5" xfId="2225" xr:uid="{00000000-0005-0000-0000-0000B1080000}"/>
    <cellStyle name="千分位 8 3 3" xfId="2226" xr:uid="{00000000-0005-0000-0000-0000B2080000}"/>
    <cellStyle name="千分位 8 3 3 2" xfId="2227" xr:uid="{00000000-0005-0000-0000-0000B3080000}"/>
    <cellStyle name="千分位 8 3 3 2 2" xfId="2228" xr:uid="{00000000-0005-0000-0000-0000B4080000}"/>
    <cellStyle name="千分位 8 3 3 2 2 2" xfId="2229" xr:uid="{00000000-0005-0000-0000-0000B5080000}"/>
    <cellStyle name="千分位 8 3 3 2 3" xfId="2230" xr:uid="{00000000-0005-0000-0000-0000B6080000}"/>
    <cellStyle name="千分位 8 3 3 3" xfId="2231" xr:uid="{00000000-0005-0000-0000-0000B7080000}"/>
    <cellStyle name="千分位 8 3 3 3 2" xfId="2232" xr:uid="{00000000-0005-0000-0000-0000B8080000}"/>
    <cellStyle name="千分位 8 3 3 4" xfId="2233" xr:uid="{00000000-0005-0000-0000-0000B9080000}"/>
    <cellStyle name="千分位 8 3 4" xfId="2234" xr:uid="{00000000-0005-0000-0000-0000BA080000}"/>
    <cellStyle name="千分位 8 3 4 2" xfId="2235" xr:uid="{00000000-0005-0000-0000-0000BB080000}"/>
    <cellStyle name="千分位 8 3 4 2 2" xfId="2236" xr:uid="{00000000-0005-0000-0000-0000BC080000}"/>
    <cellStyle name="千分位 8 3 4 3" xfId="2237" xr:uid="{00000000-0005-0000-0000-0000BD080000}"/>
    <cellStyle name="千分位 8 3 5" xfId="2238" xr:uid="{00000000-0005-0000-0000-0000BE080000}"/>
    <cellStyle name="千分位 8 3 5 2" xfId="2239" xr:uid="{00000000-0005-0000-0000-0000BF080000}"/>
    <cellStyle name="千分位 8 3 6" xfId="2240" xr:uid="{00000000-0005-0000-0000-0000C0080000}"/>
    <cellStyle name="千分位 8 4" xfId="2241" xr:uid="{00000000-0005-0000-0000-0000C1080000}"/>
    <cellStyle name="千分位 8 4 2" xfId="2242" xr:uid="{00000000-0005-0000-0000-0000C2080000}"/>
    <cellStyle name="千分位 8 4 2 2" xfId="2243" xr:uid="{00000000-0005-0000-0000-0000C3080000}"/>
    <cellStyle name="千分位 8 4 2 2 2" xfId="2244" xr:uid="{00000000-0005-0000-0000-0000C4080000}"/>
    <cellStyle name="千分位 8 4 2 2 2 2" xfId="2245" xr:uid="{00000000-0005-0000-0000-0000C5080000}"/>
    <cellStyle name="千分位 8 4 2 2 3" xfId="2246" xr:uid="{00000000-0005-0000-0000-0000C6080000}"/>
    <cellStyle name="千分位 8 4 2 3" xfId="2247" xr:uid="{00000000-0005-0000-0000-0000C7080000}"/>
    <cellStyle name="千分位 8 4 2 3 2" xfId="2248" xr:uid="{00000000-0005-0000-0000-0000C8080000}"/>
    <cellStyle name="千分位 8 4 2 4" xfId="2249" xr:uid="{00000000-0005-0000-0000-0000C9080000}"/>
    <cellStyle name="千分位 8 4 3" xfId="2250" xr:uid="{00000000-0005-0000-0000-0000CA080000}"/>
    <cellStyle name="千分位 8 4 3 2" xfId="2251" xr:uid="{00000000-0005-0000-0000-0000CB080000}"/>
    <cellStyle name="千分位 8 4 3 2 2" xfId="2252" xr:uid="{00000000-0005-0000-0000-0000CC080000}"/>
    <cellStyle name="千分位 8 4 3 3" xfId="2253" xr:uid="{00000000-0005-0000-0000-0000CD080000}"/>
    <cellStyle name="千分位 8 4 4" xfId="2254" xr:uid="{00000000-0005-0000-0000-0000CE080000}"/>
    <cellStyle name="千分位 8 4 4 2" xfId="2255" xr:uid="{00000000-0005-0000-0000-0000CF080000}"/>
    <cellStyle name="千分位 8 4 5" xfId="2256" xr:uid="{00000000-0005-0000-0000-0000D0080000}"/>
    <cellStyle name="千分位 8 5" xfId="2257" xr:uid="{00000000-0005-0000-0000-0000D1080000}"/>
    <cellStyle name="千分位 8 5 2" xfId="2258" xr:uid="{00000000-0005-0000-0000-0000D2080000}"/>
    <cellStyle name="千分位 8 5 2 2" xfId="2259" xr:uid="{00000000-0005-0000-0000-0000D3080000}"/>
    <cellStyle name="千分位 8 5 2 2 2" xfId="2260" xr:uid="{00000000-0005-0000-0000-0000D4080000}"/>
    <cellStyle name="千分位 8 5 2 3" xfId="2261" xr:uid="{00000000-0005-0000-0000-0000D5080000}"/>
    <cellStyle name="千分位 8 5 3" xfId="2262" xr:uid="{00000000-0005-0000-0000-0000D6080000}"/>
    <cellStyle name="千分位 8 5 3 2" xfId="2263" xr:uid="{00000000-0005-0000-0000-0000D7080000}"/>
    <cellStyle name="千分位 8 5 4" xfId="2264" xr:uid="{00000000-0005-0000-0000-0000D8080000}"/>
    <cellStyle name="千分位 8 6" xfId="2265" xr:uid="{00000000-0005-0000-0000-0000D9080000}"/>
    <cellStyle name="千分位 8 6 2" xfId="2266" xr:uid="{00000000-0005-0000-0000-0000DA080000}"/>
    <cellStyle name="千分位 8 6 2 2" xfId="2267" xr:uid="{00000000-0005-0000-0000-0000DB080000}"/>
    <cellStyle name="千分位 8 6 3" xfId="2268" xr:uid="{00000000-0005-0000-0000-0000DC080000}"/>
    <cellStyle name="千分位 8 7" xfId="2269" xr:uid="{00000000-0005-0000-0000-0000DD080000}"/>
    <cellStyle name="千分位 8 7 2" xfId="2270" xr:uid="{00000000-0005-0000-0000-0000DE080000}"/>
    <cellStyle name="千分位 8 8" xfId="2271" xr:uid="{00000000-0005-0000-0000-0000DF080000}"/>
    <cellStyle name="千分位 8 9" xfId="2144" xr:uid="{00000000-0005-0000-0000-0000E0080000}"/>
    <cellStyle name="千分位 9" xfId="2272" xr:uid="{00000000-0005-0000-0000-0000E1080000}"/>
    <cellStyle name="千分位 9 2" xfId="2273" xr:uid="{00000000-0005-0000-0000-0000E2080000}"/>
    <cellStyle name="千分位 9 2 2" xfId="2274" xr:uid="{00000000-0005-0000-0000-0000E3080000}"/>
    <cellStyle name="千分位 9 2 2 2" xfId="2275" xr:uid="{00000000-0005-0000-0000-0000E4080000}"/>
    <cellStyle name="千分位 9 2 2 2 2" xfId="2276" xr:uid="{00000000-0005-0000-0000-0000E5080000}"/>
    <cellStyle name="千分位 9 2 2 2 2 2" xfId="2277" xr:uid="{00000000-0005-0000-0000-0000E6080000}"/>
    <cellStyle name="千分位 9 2 2 2 2 2 2" xfId="2278" xr:uid="{00000000-0005-0000-0000-0000E7080000}"/>
    <cellStyle name="千分位 9 2 2 2 2 2 2 2" xfId="2279" xr:uid="{00000000-0005-0000-0000-0000E8080000}"/>
    <cellStyle name="千分位 9 2 2 2 2 2 3" xfId="2280" xr:uid="{00000000-0005-0000-0000-0000E9080000}"/>
    <cellStyle name="千分位 9 2 2 2 2 3" xfId="2281" xr:uid="{00000000-0005-0000-0000-0000EA080000}"/>
    <cellStyle name="千分位 9 2 2 2 2 3 2" xfId="2282" xr:uid="{00000000-0005-0000-0000-0000EB080000}"/>
    <cellStyle name="千分位 9 2 2 2 2 4" xfId="2283" xr:uid="{00000000-0005-0000-0000-0000EC080000}"/>
    <cellStyle name="千分位 9 2 2 2 3" xfId="2284" xr:uid="{00000000-0005-0000-0000-0000ED080000}"/>
    <cellStyle name="千分位 9 2 2 2 3 2" xfId="2285" xr:uid="{00000000-0005-0000-0000-0000EE080000}"/>
    <cellStyle name="千分位 9 2 2 2 3 2 2" xfId="2286" xr:uid="{00000000-0005-0000-0000-0000EF080000}"/>
    <cellStyle name="千分位 9 2 2 2 3 3" xfId="2287" xr:uid="{00000000-0005-0000-0000-0000F0080000}"/>
    <cellStyle name="千分位 9 2 2 2 4" xfId="2288" xr:uid="{00000000-0005-0000-0000-0000F1080000}"/>
    <cellStyle name="千分位 9 2 2 2 4 2" xfId="2289" xr:uid="{00000000-0005-0000-0000-0000F2080000}"/>
    <cellStyle name="千分位 9 2 2 2 5" xfId="2290" xr:uid="{00000000-0005-0000-0000-0000F3080000}"/>
    <cellStyle name="千分位 9 2 2 3" xfId="2291" xr:uid="{00000000-0005-0000-0000-0000F4080000}"/>
    <cellStyle name="千分位 9 2 2 3 2" xfId="2292" xr:uid="{00000000-0005-0000-0000-0000F5080000}"/>
    <cellStyle name="千分位 9 2 2 3 2 2" xfId="2293" xr:uid="{00000000-0005-0000-0000-0000F6080000}"/>
    <cellStyle name="千分位 9 2 2 3 2 2 2" xfId="2294" xr:uid="{00000000-0005-0000-0000-0000F7080000}"/>
    <cellStyle name="千分位 9 2 2 3 2 3" xfId="2295" xr:uid="{00000000-0005-0000-0000-0000F8080000}"/>
    <cellStyle name="千分位 9 2 2 3 3" xfId="2296" xr:uid="{00000000-0005-0000-0000-0000F9080000}"/>
    <cellStyle name="千分位 9 2 2 3 3 2" xfId="2297" xr:uid="{00000000-0005-0000-0000-0000FA080000}"/>
    <cellStyle name="千分位 9 2 2 3 4" xfId="2298" xr:uid="{00000000-0005-0000-0000-0000FB080000}"/>
    <cellStyle name="千分位 9 2 2 4" xfId="2299" xr:uid="{00000000-0005-0000-0000-0000FC080000}"/>
    <cellStyle name="千分位 9 2 2 4 2" xfId="2300" xr:uid="{00000000-0005-0000-0000-0000FD080000}"/>
    <cellStyle name="千分位 9 2 2 4 2 2" xfId="2301" xr:uid="{00000000-0005-0000-0000-0000FE080000}"/>
    <cellStyle name="千分位 9 2 2 4 3" xfId="2302" xr:uid="{00000000-0005-0000-0000-0000FF080000}"/>
    <cellStyle name="千分位 9 2 2 5" xfId="2303" xr:uid="{00000000-0005-0000-0000-000000090000}"/>
    <cellStyle name="千分位 9 2 2 5 2" xfId="2304" xr:uid="{00000000-0005-0000-0000-000001090000}"/>
    <cellStyle name="千分位 9 2 2 6" xfId="2305" xr:uid="{00000000-0005-0000-0000-000002090000}"/>
    <cellStyle name="千分位 9 2 3" xfId="2306" xr:uid="{00000000-0005-0000-0000-000003090000}"/>
    <cellStyle name="千分位 9 2 3 2" xfId="2307" xr:uid="{00000000-0005-0000-0000-000004090000}"/>
    <cellStyle name="千分位 9 2 3 2 2" xfId="2308" xr:uid="{00000000-0005-0000-0000-000005090000}"/>
    <cellStyle name="千分位 9 2 3 2 2 2" xfId="2309" xr:uid="{00000000-0005-0000-0000-000006090000}"/>
    <cellStyle name="千分位 9 2 3 2 2 2 2" xfId="2310" xr:uid="{00000000-0005-0000-0000-000007090000}"/>
    <cellStyle name="千分位 9 2 3 2 2 3" xfId="2311" xr:uid="{00000000-0005-0000-0000-000008090000}"/>
    <cellStyle name="千分位 9 2 3 2 3" xfId="2312" xr:uid="{00000000-0005-0000-0000-000009090000}"/>
    <cellStyle name="千分位 9 2 3 2 3 2" xfId="2313" xr:uid="{00000000-0005-0000-0000-00000A090000}"/>
    <cellStyle name="千分位 9 2 3 2 4" xfId="2314" xr:uid="{00000000-0005-0000-0000-00000B090000}"/>
    <cellStyle name="千分位 9 2 3 3" xfId="2315" xr:uid="{00000000-0005-0000-0000-00000C090000}"/>
    <cellStyle name="千分位 9 2 3 3 2" xfId="2316" xr:uid="{00000000-0005-0000-0000-00000D090000}"/>
    <cellStyle name="千分位 9 2 3 3 2 2" xfId="2317" xr:uid="{00000000-0005-0000-0000-00000E090000}"/>
    <cellStyle name="千分位 9 2 3 3 3" xfId="2318" xr:uid="{00000000-0005-0000-0000-00000F090000}"/>
    <cellStyle name="千分位 9 2 3 4" xfId="2319" xr:uid="{00000000-0005-0000-0000-000010090000}"/>
    <cellStyle name="千分位 9 2 3 4 2" xfId="2320" xr:uid="{00000000-0005-0000-0000-000011090000}"/>
    <cellStyle name="千分位 9 2 3 5" xfId="2321" xr:uid="{00000000-0005-0000-0000-000012090000}"/>
    <cellStyle name="千分位 9 2 4" xfId="2322" xr:uid="{00000000-0005-0000-0000-000013090000}"/>
    <cellStyle name="千分位 9 2 4 2" xfId="2323" xr:uid="{00000000-0005-0000-0000-000014090000}"/>
    <cellStyle name="千分位 9 2 4 2 2" xfId="2324" xr:uid="{00000000-0005-0000-0000-000015090000}"/>
    <cellStyle name="千分位 9 2 4 2 2 2" xfId="2325" xr:uid="{00000000-0005-0000-0000-000016090000}"/>
    <cellStyle name="千分位 9 2 4 2 3" xfId="2326" xr:uid="{00000000-0005-0000-0000-000017090000}"/>
    <cellStyle name="千分位 9 2 4 3" xfId="2327" xr:uid="{00000000-0005-0000-0000-000018090000}"/>
    <cellStyle name="千分位 9 2 4 3 2" xfId="2328" xr:uid="{00000000-0005-0000-0000-000019090000}"/>
    <cellStyle name="千分位 9 2 4 4" xfId="2329" xr:uid="{00000000-0005-0000-0000-00001A090000}"/>
    <cellStyle name="千分位 9 2 5" xfId="2330" xr:uid="{00000000-0005-0000-0000-00001B090000}"/>
    <cellStyle name="千分位 9 2 5 2" xfId="2331" xr:uid="{00000000-0005-0000-0000-00001C090000}"/>
    <cellStyle name="千分位 9 2 5 2 2" xfId="2332" xr:uid="{00000000-0005-0000-0000-00001D090000}"/>
    <cellStyle name="千分位 9 2 5 3" xfId="2333" xr:uid="{00000000-0005-0000-0000-00001E090000}"/>
    <cellStyle name="千分位 9 2 6" xfId="2334" xr:uid="{00000000-0005-0000-0000-00001F090000}"/>
    <cellStyle name="千分位 9 2 6 2" xfId="2335" xr:uid="{00000000-0005-0000-0000-000020090000}"/>
    <cellStyle name="千分位 9 2 7" xfId="2336" xr:uid="{00000000-0005-0000-0000-000021090000}"/>
    <cellStyle name="千分位 9 3" xfId="2337" xr:uid="{00000000-0005-0000-0000-000022090000}"/>
    <cellStyle name="千分位 9 3 2" xfId="2338" xr:uid="{00000000-0005-0000-0000-000023090000}"/>
    <cellStyle name="千分位 9 3 2 2" xfId="2339" xr:uid="{00000000-0005-0000-0000-000024090000}"/>
    <cellStyle name="千分位 9 3 2 2 2" xfId="2340" xr:uid="{00000000-0005-0000-0000-000025090000}"/>
    <cellStyle name="千分位 9 3 2 2 2 2" xfId="2341" xr:uid="{00000000-0005-0000-0000-000026090000}"/>
    <cellStyle name="千分位 9 3 2 2 2 2 2" xfId="2342" xr:uid="{00000000-0005-0000-0000-000027090000}"/>
    <cellStyle name="千分位 9 3 2 2 2 3" xfId="2343" xr:uid="{00000000-0005-0000-0000-000028090000}"/>
    <cellStyle name="千分位 9 3 2 2 3" xfId="2344" xr:uid="{00000000-0005-0000-0000-000029090000}"/>
    <cellStyle name="千分位 9 3 2 2 3 2" xfId="2345" xr:uid="{00000000-0005-0000-0000-00002A090000}"/>
    <cellStyle name="千分位 9 3 2 2 4" xfId="2346" xr:uid="{00000000-0005-0000-0000-00002B090000}"/>
    <cellStyle name="千分位 9 3 2 3" xfId="2347" xr:uid="{00000000-0005-0000-0000-00002C090000}"/>
    <cellStyle name="千分位 9 3 2 3 2" xfId="2348" xr:uid="{00000000-0005-0000-0000-00002D090000}"/>
    <cellStyle name="千分位 9 3 2 3 2 2" xfId="2349" xr:uid="{00000000-0005-0000-0000-00002E090000}"/>
    <cellStyle name="千分位 9 3 2 3 3" xfId="2350" xr:uid="{00000000-0005-0000-0000-00002F090000}"/>
    <cellStyle name="千分位 9 3 2 4" xfId="2351" xr:uid="{00000000-0005-0000-0000-000030090000}"/>
    <cellStyle name="千分位 9 3 2 4 2" xfId="2352" xr:uid="{00000000-0005-0000-0000-000031090000}"/>
    <cellStyle name="千分位 9 3 2 5" xfId="2353" xr:uid="{00000000-0005-0000-0000-000032090000}"/>
    <cellStyle name="千分位 9 3 3" xfId="2354" xr:uid="{00000000-0005-0000-0000-000033090000}"/>
    <cellStyle name="千分位 9 3 3 2" xfId="2355" xr:uid="{00000000-0005-0000-0000-000034090000}"/>
    <cellStyle name="千分位 9 3 3 2 2" xfId="2356" xr:uid="{00000000-0005-0000-0000-000035090000}"/>
    <cellStyle name="千分位 9 3 3 2 2 2" xfId="2357" xr:uid="{00000000-0005-0000-0000-000036090000}"/>
    <cellStyle name="千分位 9 3 3 2 3" xfId="2358" xr:uid="{00000000-0005-0000-0000-000037090000}"/>
    <cellStyle name="千分位 9 3 3 3" xfId="2359" xr:uid="{00000000-0005-0000-0000-000038090000}"/>
    <cellStyle name="千分位 9 3 3 3 2" xfId="2360" xr:uid="{00000000-0005-0000-0000-000039090000}"/>
    <cellStyle name="千分位 9 3 3 4" xfId="2361" xr:uid="{00000000-0005-0000-0000-00003A090000}"/>
    <cellStyle name="千分位 9 3 4" xfId="2362" xr:uid="{00000000-0005-0000-0000-00003B090000}"/>
    <cellStyle name="千分位 9 3 4 2" xfId="2363" xr:uid="{00000000-0005-0000-0000-00003C090000}"/>
    <cellStyle name="千分位 9 3 4 2 2" xfId="2364" xr:uid="{00000000-0005-0000-0000-00003D090000}"/>
    <cellStyle name="千分位 9 3 4 3" xfId="2365" xr:uid="{00000000-0005-0000-0000-00003E090000}"/>
    <cellStyle name="千分位 9 3 5" xfId="2366" xr:uid="{00000000-0005-0000-0000-00003F090000}"/>
    <cellStyle name="千分位 9 3 5 2" xfId="2367" xr:uid="{00000000-0005-0000-0000-000040090000}"/>
    <cellStyle name="千分位 9 3 6" xfId="2368" xr:uid="{00000000-0005-0000-0000-000041090000}"/>
    <cellStyle name="千分位 9 4" xfId="2369" xr:uid="{00000000-0005-0000-0000-000042090000}"/>
    <cellStyle name="千分位 9 4 2" xfId="2370" xr:uid="{00000000-0005-0000-0000-000043090000}"/>
    <cellStyle name="千分位 9 4 2 2" xfId="2371" xr:uid="{00000000-0005-0000-0000-000044090000}"/>
    <cellStyle name="千分位 9 4 2 2 2" xfId="2372" xr:uid="{00000000-0005-0000-0000-000045090000}"/>
    <cellStyle name="千分位 9 4 2 2 2 2" xfId="2373" xr:uid="{00000000-0005-0000-0000-000046090000}"/>
    <cellStyle name="千分位 9 4 2 2 3" xfId="2374" xr:uid="{00000000-0005-0000-0000-000047090000}"/>
    <cellStyle name="千分位 9 4 2 3" xfId="2375" xr:uid="{00000000-0005-0000-0000-000048090000}"/>
    <cellStyle name="千分位 9 4 2 3 2" xfId="2376" xr:uid="{00000000-0005-0000-0000-000049090000}"/>
    <cellStyle name="千分位 9 4 2 4" xfId="2377" xr:uid="{00000000-0005-0000-0000-00004A090000}"/>
    <cellStyle name="千分位 9 4 3" xfId="2378" xr:uid="{00000000-0005-0000-0000-00004B090000}"/>
    <cellStyle name="千分位 9 4 3 2" xfId="2379" xr:uid="{00000000-0005-0000-0000-00004C090000}"/>
    <cellStyle name="千分位 9 4 3 2 2" xfId="2380" xr:uid="{00000000-0005-0000-0000-00004D090000}"/>
    <cellStyle name="千分位 9 4 3 3" xfId="2381" xr:uid="{00000000-0005-0000-0000-00004E090000}"/>
    <cellStyle name="千分位 9 4 4" xfId="2382" xr:uid="{00000000-0005-0000-0000-00004F090000}"/>
    <cellStyle name="千分位 9 4 4 2" xfId="2383" xr:uid="{00000000-0005-0000-0000-000050090000}"/>
    <cellStyle name="千分位 9 4 5" xfId="2384" xr:uid="{00000000-0005-0000-0000-000051090000}"/>
    <cellStyle name="千分位 9 5" xfId="2385" xr:uid="{00000000-0005-0000-0000-000052090000}"/>
    <cellStyle name="千分位 9 5 2" xfId="2386" xr:uid="{00000000-0005-0000-0000-000053090000}"/>
    <cellStyle name="千分位 9 5 2 2" xfId="2387" xr:uid="{00000000-0005-0000-0000-000054090000}"/>
    <cellStyle name="千分位 9 5 2 2 2" xfId="2388" xr:uid="{00000000-0005-0000-0000-000055090000}"/>
    <cellStyle name="千分位 9 5 2 3" xfId="2389" xr:uid="{00000000-0005-0000-0000-000056090000}"/>
    <cellStyle name="千分位 9 5 3" xfId="2390" xr:uid="{00000000-0005-0000-0000-000057090000}"/>
    <cellStyle name="千分位 9 5 3 2" xfId="2391" xr:uid="{00000000-0005-0000-0000-000058090000}"/>
    <cellStyle name="千分位 9 5 4" xfId="2392" xr:uid="{00000000-0005-0000-0000-000059090000}"/>
    <cellStyle name="千分位 9 6" xfId="2393" xr:uid="{00000000-0005-0000-0000-00005A090000}"/>
    <cellStyle name="千分位 9 6 2" xfId="2394" xr:uid="{00000000-0005-0000-0000-00005B090000}"/>
    <cellStyle name="千分位 9 6 2 2" xfId="2395" xr:uid="{00000000-0005-0000-0000-00005C090000}"/>
    <cellStyle name="千分位 9 6 3" xfId="2396" xr:uid="{00000000-0005-0000-0000-00005D090000}"/>
    <cellStyle name="千分位 9 7" xfId="2397" xr:uid="{00000000-0005-0000-0000-00005E090000}"/>
    <cellStyle name="千分位 9 7 2" xfId="2398" xr:uid="{00000000-0005-0000-0000-00005F090000}"/>
    <cellStyle name="千分位 9 8" xfId="2399" xr:uid="{00000000-0005-0000-0000-000060090000}"/>
    <cellStyle name="百分比" xfId="5" builtinId="5"/>
    <cellStyle name="百分比 10" xfId="2400" xr:uid="{00000000-0005-0000-0000-000062090000}"/>
    <cellStyle name="百分比 11" xfId="2401" xr:uid="{00000000-0005-0000-0000-000063090000}"/>
    <cellStyle name="百分比 11 2" xfId="2402" xr:uid="{00000000-0005-0000-0000-000064090000}"/>
    <cellStyle name="百分比 12" xfId="2403" xr:uid="{00000000-0005-0000-0000-000065090000}"/>
    <cellStyle name="百分比 13" xfId="2404" xr:uid="{00000000-0005-0000-0000-000066090000}"/>
    <cellStyle name="百分比 14" xfId="2405" xr:uid="{00000000-0005-0000-0000-000067090000}"/>
    <cellStyle name="百分比 15" xfId="2599" xr:uid="{00000000-0005-0000-0000-000068090000}"/>
    <cellStyle name="百分比 2" xfId="11" xr:uid="{00000000-0005-0000-0000-000069090000}"/>
    <cellStyle name="百分比 2 2" xfId="2407" xr:uid="{00000000-0005-0000-0000-00006A090000}"/>
    <cellStyle name="百分比 2 3" xfId="2406" xr:uid="{00000000-0005-0000-0000-00006B090000}"/>
    <cellStyle name="百分比 3" xfId="2408" xr:uid="{00000000-0005-0000-0000-00006C090000}"/>
    <cellStyle name="百分比 4" xfId="2409" xr:uid="{00000000-0005-0000-0000-00006D090000}"/>
    <cellStyle name="百分比 4 2" xfId="2410" xr:uid="{00000000-0005-0000-0000-00006E090000}"/>
    <cellStyle name="百分比 4 2 2" xfId="2411" xr:uid="{00000000-0005-0000-0000-00006F090000}"/>
    <cellStyle name="百分比 4 2 2 2" xfId="2412" xr:uid="{00000000-0005-0000-0000-000070090000}"/>
    <cellStyle name="百分比 4 2 2 2 2" xfId="2413" xr:uid="{00000000-0005-0000-0000-000071090000}"/>
    <cellStyle name="百分比 4 2 2 2 2 2" xfId="2414" xr:uid="{00000000-0005-0000-0000-000072090000}"/>
    <cellStyle name="百分比 4 2 2 2 3" xfId="2415" xr:uid="{00000000-0005-0000-0000-000073090000}"/>
    <cellStyle name="百分比 4 2 2 3" xfId="2416" xr:uid="{00000000-0005-0000-0000-000074090000}"/>
    <cellStyle name="百分比 4 2 2 3 2" xfId="2417" xr:uid="{00000000-0005-0000-0000-000075090000}"/>
    <cellStyle name="百分比 4 2 2 4" xfId="2418" xr:uid="{00000000-0005-0000-0000-000076090000}"/>
    <cellStyle name="百分比 4 2 3" xfId="2419" xr:uid="{00000000-0005-0000-0000-000077090000}"/>
    <cellStyle name="百分比 4 2 3 2" xfId="2420" xr:uid="{00000000-0005-0000-0000-000078090000}"/>
    <cellStyle name="百分比 4 2 3 2 2" xfId="2421" xr:uid="{00000000-0005-0000-0000-000079090000}"/>
    <cellStyle name="百分比 4 2 3 3" xfId="2422" xr:uid="{00000000-0005-0000-0000-00007A090000}"/>
    <cellStyle name="百分比 4 2 4" xfId="2423" xr:uid="{00000000-0005-0000-0000-00007B090000}"/>
    <cellStyle name="百分比 4 2 4 2" xfId="2424" xr:uid="{00000000-0005-0000-0000-00007C090000}"/>
    <cellStyle name="百分比 4 2 5" xfId="2425" xr:uid="{00000000-0005-0000-0000-00007D090000}"/>
    <cellStyle name="百分比 4 3" xfId="2426" xr:uid="{00000000-0005-0000-0000-00007E090000}"/>
    <cellStyle name="百分比 4 3 2" xfId="2427" xr:uid="{00000000-0005-0000-0000-00007F090000}"/>
    <cellStyle name="百分比 4 3 2 2" xfId="2428" xr:uid="{00000000-0005-0000-0000-000080090000}"/>
    <cellStyle name="百分比 4 3 2 2 2" xfId="2429" xr:uid="{00000000-0005-0000-0000-000081090000}"/>
    <cellStyle name="百分比 4 3 2 3" xfId="2430" xr:uid="{00000000-0005-0000-0000-000082090000}"/>
    <cellStyle name="百分比 4 3 3" xfId="2431" xr:uid="{00000000-0005-0000-0000-000083090000}"/>
    <cellStyle name="百分比 4 3 3 2" xfId="2432" xr:uid="{00000000-0005-0000-0000-000084090000}"/>
    <cellStyle name="百分比 4 3 4" xfId="2433" xr:uid="{00000000-0005-0000-0000-000085090000}"/>
    <cellStyle name="百分比 4 4" xfId="2434" xr:uid="{00000000-0005-0000-0000-000086090000}"/>
    <cellStyle name="百分比 4 4 2" xfId="2435" xr:uid="{00000000-0005-0000-0000-000087090000}"/>
    <cellStyle name="百分比 4 4 2 2" xfId="2436" xr:uid="{00000000-0005-0000-0000-000088090000}"/>
    <cellStyle name="百分比 4 4 3" xfId="2437" xr:uid="{00000000-0005-0000-0000-000089090000}"/>
    <cellStyle name="百分比 4 5" xfId="2438" xr:uid="{00000000-0005-0000-0000-00008A090000}"/>
    <cellStyle name="百分比 4 5 2" xfId="2439" xr:uid="{00000000-0005-0000-0000-00008B090000}"/>
    <cellStyle name="百分比 4 6" xfId="2440" xr:uid="{00000000-0005-0000-0000-00008C090000}"/>
    <cellStyle name="百分比 5" xfId="2441" xr:uid="{00000000-0005-0000-0000-00008D090000}"/>
    <cellStyle name="百分比 6" xfId="2442" xr:uid="{00000000-0005-0000-0000-00008E090000}"/>
    <cellStyle name="百分比 6 2" xfId="2443" xr:uid="{00000000-0005-0000-0000-00008F090000}"/>
    <cellStyle name="百分比 6 2 2" xfId="2444" xr:uid="{00000000-0005-0000-0000-000090090000}"/>
    <cellStyle name="百分比 6 2 2 2" xfId="2445" xr:uid="{00000000-0005-0000-0000-000091090000}"/>
    <cellStyle name="百分比 6 2 2 2 2" xfId="2446" xr:uid="{00000000-0005-0000-0000-000092090000}"/>
    <cellStyle name="百分比 6 2 2 3" xfId="2447" xr:uid="{00000000-0005-0000-0000-000093090000}"/>
    <cellStyle name="百分比 6 2 3" xfId="2448" xr:uid="{00000000-0005-0000-0000-000094090000}"/>
    <cellStyle name="百分比 6 2 3 2" xfId="2449" xr:uid="{00000000-0005-0000-0000-000095090000}"/>
    <cellStyle name="百分比 6 2 4" xfId="2450" xr:uid="{00000000-0005-0000-0000-000096090000}"/>
    <cellStyle name="百分比 6 3" xfId="2451" xr:uid="{00000000-0005-0000-0000-000097090000}"/>
    <cellStyle name="百分比 6 3 2" xfId="2452" xr:uid="{00000000-0005-0000-0000-000098090000}"/>
    <cellStyle name="百分比 6 3 2 2" xfId="2453" xr:uid="{00000000-0005-0000-0000-000099090000}"/>
    <cellStyle name="百分比 6 3 3" xfId="2454" xr:uid="{00000000-0005-0000-0000-00009A090000}"/>
    <cellStyle name="百分比 6 4" xfId="2455" xr:uid="{00000000-0005-0000-0000-00009B090000}"/>
    <cellStyle name="百分比 6 4 2" xfId="2456" xr:uid="{00000000-0005-0000-0000-00009C090000}"/>
    <cellStyle name="百分比 6 5" xfId="2457" xr:uid="{00000000-0005-0000-0000-00009D090000}"/>
    <cellStyle name="百分比 7" xfId="2458" xr:uid="{00000000-0005-0000-0000-00009E090000}"/>
    <cellStyle name="百分比 8" xfId="2459" xr:uid="{00000000-0005-0000-0000-00009F090000}"/>
    <cellStyle name="百分比 8 2" xfId="2460" xr:uid="{00000000-0005-0000-0000-0000A0090000}"/>
    <cellStyle name="百分比 8 2 2" xfId="2461" xr:uid="{00000000-0005-0000-0000-0000A1090000}"/>
    <cellStyle name="百分比 8 2 2 2" xfId="2462" xr:uid="{00000000-0005-0000-0000-0000A2090000}"/>
    <cellStyle name="百分比 8 2 3" xfId="2463" xr:uid="{00000000-0005-0000-0000-0000A3090000}"/>
    <cellStyle name="百分比 8 3" xfId="2464" xr:uid="{00000000-0005-0000-0000-0000A4090000}"/>
    <cellStyle name="百分比 8 3 2" xfId="2465" xr:uid="{00000000-0005-0000-0000-0000A5090000}"/>
    <cellStyle name="百分比 8 4" xfId="2466" xr:uid="{00000000-0005-0000-0000-0000A6090000}"/>
    <cellStyle name="百分比 9" xfId="2467" xr:uid="{00000000-0005-0000-0000-0000A7090000}"/>
    <cellStyle name="貨幣 2" xfId="2468" xr:uid="{00000000-0005-0000-0000-0000A8090000}"/>
    <cellStyle name="貨幣 2 2" xfId="2469" xr:uid="{00000000-0005-0000-0000-0000A9090000}"/>
    <cellStyle name="貨幣 2 2 2" xfId="2470" xr:uid="{00000000-0005-0000-0000-0000AA090000}"/>
    <cellStyle name="貨幣 2 2 2 2" xfId="2471" xr:uid="{00000000-0005-0000-0000-0000AB090000}"/>
    <cellStyle name="貨幣 2 2 2 2 2" xfId="2472" xr:uid="{00000000-0005-0000-0000-0000AC090000}"/>
    <cellStyle name="貨幣 2 2 2 2 2 2" xfId="2473" xr:uid="{00000000-0005-0000-0000-0000AD090000}"/>
    <cellStyle name="貨幣 2 2 2 2 2 2 2" xfId="2474" xr:uid="{00000000-0005-0000-0000-0000AE090000}"/>
    <cellStyle name="貨幣 2 2 2 2 2 3" xfId="2475" xr:uid="{00000000-0005-0000-0000-0000AF090000}"/>
    <cellStyle name="貨幣 2 2 2 2 3" xfId="2476" xr:uid="{00000000-0005-0000-0000-0000B0090000}"/>
    <cellStyle name="貨幣 2 2 2 2 3 2" xfId="2477" xr:uid="{00000000-0005-0000-0000-0000B1090000}"/>
    <cellStyle name="貨幣 2 2 2 2 4" xfId="2478" xr:uid="{00000000-0005-0000-0000-0000B2090000}"/>
    <cellStyle name="貨幣 2 2 2 3" xfId="2479" xr:uid="{00000000-0005-0000-0000-0000B3090000}"/>
    <cellStyle name="貨幣 2 2 2 3 2" xfId="2480" xr:uid="{00000000-0005-0000-0000-0000B4090000}"/>
    <cellStyle name="貨幣 2 2 2 3 2 2" xfId="2481" xr:uid="{00000000-0005-0000-0000-0000B5090000}"/>
    <cellStyle name="貨幣 2 2 2 3 3" xfId="2482" xr:uid="{00000000-0005-0000-0000-0000B6090000}"/>
    <cellStyle name="貨幣 2 2 2 4" xfId="2483" xr:uid="{00000000-0005-0000-0000-0000B7090000}"/>
    <cellStyle name="貨幣 2 2 2 4 2" xfId="2484" xr:uid="{00000000-0005-0000-0000-0000B8090000}"/>
    <cellStyle name="貨幣 2 2 2 5" xfId="2485" xr:uid="{00000000-0005-0000-0000-0000B9090000}"/>
    <cellStyle name="貨幣 2 2 3" xfId="2486" xr:uid="{00000000-0005-0000-0000-0000BA090000}"/>
    <cellStyle name="貨幣 2 2 3 2" xfId="2487" xr:uid="{00000000-0005-0000-0000-0000BB090000}"/>
    <cellStyle name="貨幣 2 2 3 2 2" xfId="2488" xr:uid="{00000000-0005-0000-0000-0000BC090000}"/>
    <cellStyle name="貨幣 2 2 3 2 2 2" xfId="2489" xr:uid="{00000000-0005-0000-0000-0000BD090000}"/>
    <cellStyle name="貨幣 2 2 3 2 3" xfId="2490" xr:uid="{00000000-0005-0000-0000-0000BE090000}"/>
    <cellStyle name="貨幣 2 2 3 3" xfId="2491" xr:uid="{00000000-0005-0000-0000-0000BF090000}"/>
    <cellStyle name="貨幣 2 2 3 3 2" xfId="2492" xr:uid="{00000000-0005-0000-0000-0000C0090000}"/>
    <cellStyle name="貨幣 2 2 3 4" xfId="2493" xr:uid="{00000000-0005-0000-0000-0000C1090000}"/>
    <cellStyle name="貨幣 2 2 4" xfId="2494" xr:uid="{00000000-0005-0000-0000-0000C2090000}"/>
    <cellStyle name="貨幣 2 2 4 2" xfId="2495" xr:uid="{00000000-0005-0000-0000-0000C3090000}"/>
    <cellStyle name="貨幣 2 2 4 2 2" xfId="2496" xr:uid="{00000000-0005-0000-0000-0000C4090000}"/>
    <cellStyle name="貨幣 2 2 4 3" xfId="2497" xr:uid="{00000000-0005-0000-0000-0000C5090000}"/>
    <cellStyle name="貨幣 2 2 5" xfId="2498" xr:uid="{00000000-0005-0000-0000-0000C6090000}"/>
    <cellStyle name="貨幣 2 2 5 2" xfId="2499" xr:uid="{00000000-0005-0000-0000-0000C7090000}"/>
    <cellStyle name="貨幣 2 2 6" xfId="2500" xr:uid="{00000000-0005-0000-0000-0000C8090000}"/>
    <cellStyle name="貨幣 2 3" xfId="2501" xr:uid="{00000000-0005-0000-0000-0000C9090000}"/>
    <cellStyle name="貨幣 2 3 2" xfId="2502" xr:uid="{00000000-0005-0000-0000-0000CA090000}"/>
    <cellStyle name="貨幣 2 3 2 2" xfId="2503" xr:uid="{00000000-0005-0000-0000-0000CB090000}"/>
    <cellStyle name="貨幣 2 3 2 2 2" xfId="2504" xr:uid="{00000000-0005-0000-0000-0000CC090000}"/>
    <cellStyle name="貨幣 2 3 2 2 2 2" xfId="2505" xr:uid="{00000000-0005-0000-0000-0000CD090000}"/>
    <cellStyle name="貨幣 2 3 2 2 3" xfId="2506" xr:uid="{00000000-0005-0000-0000-0000CE090000}"/>
    <cellStyle name="貨幣 2 3 2 3" xfId="2507" xr:uid="{00000000-0005-0000-0000-0000CF090000}"/>
    <cellStyle name="貨幣 2 3 2 3 2" xfId="2508" xr:uid="{00000000-0005-0000-0000-0000D0090000}"/>
    <cellStyle name="貨幣 2 3 2 4" xfId="2509" xr:uid="{00000000-0005-0000-0000-0000D1090000}"/>
    <cellStyle name="貨幣 2 3 3" xfId="2510" xr:uid="{00000000-0005-0000-0000-0000D2090000}"/>
    <cellStyle name="貨幣 2 3 3 2" xfId="2511" xr:uid="{00000000-0005-0000-0000-0000D3090000}"/>
    <cellStyle name="貨幣 2 3 3 2 2" xfId="2512" xr:uid="{00000000-0005-0000-0000-0000D4090000}"/>
    <cellStyle name="貨幣 2 3 3 3" xfId="2513" xr:uid="{00000000-0005-0000-0000-0000D5090000}"/>
    <cellStyle name="貨幣 2 3 4" xfId="2514" xr:uid="{00000000-0005-0000-0000-0000D6090000}"/>
    <cellStyle name="貨幣 2 3 4 2" xfId="2515" xr:uid="{00000000-0005-0000-0000-0000D7090000}"/>
    <cellStyle name="貨幣 2 3 5" xfId="2516" xr:uid="{00000000-0005-0000-0000-0000D8090000}"/>
    <cellStyle name="貨幣 2 4" xfId="2517" xr:uid="{00000000-0005-0000-0000-0000D9090000}"/>
    <cellStyle name="貨幣 2 4 2" xfId="2518" xr:uid="{00000000-0005-0000-0000-0000DA090000}"/>
    <cellStyle name="貨幣 2 4 2 2" xfId="2519" xr:uid="{00000000-0005-0000-0000-0000DB090000}"/>
    <cellStyle name="貨幣 2 4 2 2 2" xfId="2520" xr:uid="{00000000-0005-0000-0000-0000DC090000}"/>
    <cellStyle name="貨幣 2 4 2 3" xfId="2521" xr:uid="{00000000-0005-0000-0000-0000DD090000}"/>
    <cellStyle name="貨幣 2 4 3" xfId="2522" xr:uid="{00000000-0005-0000-0000-0000DE090000}"/>
    <cellStyle name="貨幣 2 4 3 2" xfId="2523" xr:uid="{00000000-0005-0000-0000-0000DF090000}"/>
    <cellStyle name="貨幣 2 4 4" xfId="2524" xr:uid="{00000000-0005-0000-0000-0000E0090000}"/>
    <cellStyle name="貨幣 2 5" xfId="2525" xr:uid="{00000000-0005-0000-0000-0000E1090000}"/>
    <cellStyle name="貨幣 2 5 2" xfId="2526" xr:uid="{00000000-0005-0000-0000-0000E2090000}"/>
    <cellStyle name="貨幣 2 5 2 2" xfId="2527" xr:uid="{00000000-0005-0000-0000-0000E3090000}"/>
    <cellStyle name="貨幣 2 5 3" xfId="2528" xr:uid="{00000000-0005-0000-0000-0000E4090000}"/>
    <cellStyle name="貨幣 2 6" xfId="2529" xr:uid="{00000000-0005-0000-0000-0000E5090000}"/>
    <cellStyle name="貨幣 2 6 2" xfId="2530" xr:uid="{00000000-0005-0000-0000-0000E6090000}"/>
    <cellStyle name="貨幣 2 7" xfId="2531" xr:uid="{00000000-0005-0000-0000-0000E7090000}"/>
    <cellStyle name="貨幣 3" xfId="2532" xr:uid="{00000000-0005-0000-0000-0000E8090000}"/>
    <cellStyle name="貨幣 3 2" xfId="2533" xr:uid="{00000000-0005-0000-0000-0000E9090000}"/>
    <cellStyle name="貨幣 3 2 2" xfId="2534" xr:uid="{00000000-0005-0000-0000-0000EA090000}"/>
    <cellStyle name="貨幣 3 2 2 2" xfId="2535" xr:uid="{00000000-0005-0000-0000-0000EB090000}"/>
    <cellStyle name="貨幣 3 2 2 2 2" xfId="2536" xr:uid="{00000000-0005-0000-0000-0000EC090000}"/>
    <cellStyle name="貨幣 3 2 2 2 2 2" xfId="2537" xr:uid="{00000000-0005-0000-0000-0000ED090000}"/>
    <cellStyle name="貨幣 3 2 2 2 3" xfId="2538" xr:uid="{00000000-0005-0000-0000-0000EE090000}"/>
    <cellStyle name="貨幣 3 2 2 3" xfId="2539" xr:uid="{00000000-0005-0000-0000-0000EF090000}"/>
    <cellStyle name="貨幣 3 2 2 3 2" xfId="2540" xr:uid="{00000000-0005-0000-0000-0000F0090000}"/>
    <cellStyle name="貨幣 3 2 2 4" xfId="2541" xr:uid="{00000000-0005-0000-0000-0000F1090000}"/>
    <cellStyle name="貨幣 3 2 3" xfId="2542" xr:uid="{00000000-0005-0000-0000-0000F2090000}"/>
    <cellStyle name="貨幣 3 2 3 2" xfId="2543" xr:uid="{00000000-0005-0000-0000-0000F3090000}"/>
    <cellStyle name="貨幣 3 2 3 2 2" xfId="2544" xr:uid="{00000000-0005-0000-0000-0000F4090000}"/>
    <cellStyle name="貨幣 3 2 3 3" xfId="2545" xr:uid="{00000000-0005-0000-0000-0000F5090000}"/>
    <cellStyle name="貨幣 3 2 4" xfId="2546" xr:uid="{00000000-0005-0000-0000-0000F6090000}"/>
    <cellStyle name="貨幣 3 2 4 2" xfId="2547" xr:uid="{00000000-0005-0000-0000-0000F7090000}"/>
    <cellStyle name="貨幣 3 2 5" xfId="2548" xr:uid="{00000000-0005-0000-0000-0000F8090000}"/>
    <cellStyle name="貨幣 3 3" xfId="2549" xr:uid="{00000000-0005-0000-0000-0000F9090000}"/>
    <cellStyle name="貨幣 3 3 2" xfId="2550" xr:uid="{00000000-0005-0000-0000-0000FA090000}"/>
    <cellStyle name="貨幣 3 3 2 2" xfId="2551" xr:uid="{00000000-0005-0000-0000-0000FB090000}"/>
    <cellStyle name="貨幣 3 3 2 2 2" xfId="2552" xr:uid="{00000000-0005-0000-0000-0000FC090000}"/>
    <cellStyle name="貨幣 3 3 2 3" xfId="2553" xr:uid="{00000000-0005-0000-0000-0000FD090000}"/>
    <cellStyle name="貨幣 3 3 3" xfId="2554" xr:uid="{00000000-0005-0000-0000-0000FE090000}"/>
    <cellStyle name="貨幣 3 3 3 2" xfId="2555" xr:uid="{00000000-0005-0000-0000-0000FF090000}"/>
    <cellStyle name="貨幣 3 3 4" xfId="2556" xr:uid="{00000000-0005-0000-0000-0000000A0000}"/>
    <cellStyle name="貨幣 3 4" xfId="2557" xr:uid="{00000000-0005-0000-0000-0000010A0000}"/>
    <cellStyle name="貨幣 3 4 2" xfId="2558" xr:uid="{00000000-0005-0000-0000-0000020A0000}"/>
    <cellStyle name="貨幣 3 4 2 2" xfId="2559" xr:uid="{00000000-0005-0000-0000-0000030A0000}"/>
    <cellStyle name="貨幣 3 4 3" xfId="2560" xr:uid="{00000000-0005-0000-0000-0000040A0000}"/>
    <cellStyle name="貨幣 3 5" xfId="2561" xr:uid="{00000000-0005-0000-0000-0000050A0000}"/>
    <cellStyle name="貨幣 3 5 2" xfId="2562" xr:uid="{00000000-0005-0000-0000-0000060A0000}"/>
    <cellStyle name="貨幣 3 6" xfId="2563" xr:uid="{00000000-0005-0000-0000-0000070A0000}"/>
    <cellStyle name="貨幣 4" xfId="2564" xr:uid="{00000000-0005-0000-0000-0000080A0000}"/>
    <cellStyle name="貨幣 4 2" xfId="2565" xr:uid="{00000000-0005-0000-0000-0000090A0000}"/>
    <cellStyle name="貨幣 4 2 2" xfId="2566" xr:uid="{00000000-0005-0000-0000-00000A0A0000}"/>
    <cellStyle name="貨幣 4 2 2 2" xfId="2567" xr:uid="{00000000-0005-0000-0000-00000B0A0000}"/>
    <cellStyle name="貨幣 4 2 2 2 2" xfId="2568" xr:uid="{00000000-0005-0000-0000-00000C0A0000}"/>
    <cellStyle name="貨幣 4 2 2 3" xfId="2569" xr:uid="{00000000-0005-0000-0000-00000D0A0000}"/>
    <cellStyle name="貨幣 4 2 3" xfId="2570" xr:uid="{00000000-0005-0000-0000-00000E0A0000}"/>
    <cellStyle name="貨幣 4 2 3 2" xfId="2571" xr:uid="{00000000-0005-0000-0000-00000F0A0000}"/>
    <cellStyle name="貨幣 4 2 4" xfId="2572" xr:uid="{00000000-0005-0000-0000-0000100A0000}"/>
    <cellStyle name="貨幣 4 3" xfId="2573" xr:uid="{00000000-0005-0000-0000-0000110A0000}"/>
    <cellStyle name="貨幣 4 3 2" xfId="2574" xr:uid="{00000000-0005-0000-0000-0000120A0000}"/>
    <cellStyle name="貨幣 4 3 2 2" xfId="2575" xr:uid="{00000000-0005-0000-0000-0000130A0000}"/>
    <cellStyle name="貨幣 4 3 3" xfId="2576" xr:uid="{00000000-0005-0000-0000-0000140A0000}"/>
    <cellStyle name="貨幣 4 4" xfId="2577" xr:uid="{00000000-0005-0000-0000-0000150A0000}"/>
    <cellStyle name="貨幣 4 4 2" xfId="2578" xr:uid="{00000000-0005-0000-0000-0000160A0000}"/>
    <cellStyle name="貨幣 4 5" xfId="2579" xr:uid="{00000000-0005-0000-0000-0000170A0000}"/>
    <cellStyle name="貨幣 5" xfId="2580" xr:uid="{00000000-0005-0000-0000-0000180A0000}"/>
    <cellStyle name="貨幣 5 2" xfId="2581" xr:uid="{00000000-0005-0000-0000-0000190A0000}"/>
    <cellStyle name="貨幣 5 2 2" xfId="2582" xr:uid="{00000000-0005-0000-0000-00001A0A0000}"/>
    <cellStyle name="貨幣 5 2 2 2" xfId="2583" xr:uid="{00000000-0005-0000-0000-00001B0A0000}"/>
    <cellStyle name="貨幣 5 2 3" xfId="2584" xr:uid="{00000000-0005-0000-0000-00001C0A0000}"/>
    <cellStyle name="貨幣 5 3" xfId="2585" xr:uid="{00000000-0005-0000-0000-00001D0A0000}"/>
    <cellStyle name="貨幣 5 3 2" xfId="2586" xr:uid="{00000000-0005-0000-0000-00001E0A0000}"/>
    <cellStyle name="貨幣 5 4" xfId="2587" xr:uid="{00000000-0005-0000-0000-00001F0A0000}"/>
    <cellStyle name="貨幣 6" xfId="2588" xr:uid="{00000000-0005-0000-0000-0000200A0000}"/>
    <cellStyle name="貨幣 6 2" xfId="2589" xr:uid="{00000000-0005-0000-0000-0000210A0000}"/>
    <cellStyle name="貨幣 6 2 2" xfId="2590" xr:uid="{00000000-0005-0000-0000-0000220A0000}"/>
    <cellStyle name="貨幣 6 3" xfId="2591" xr:uid="{00000000-0005-0000-0000-0000230A0000}"/>
    <cellStyle name="貨幣 7" xfId="2592" xr:uid="{00000000-0005-0000-0000-0000240A0000}"/>
    <cellStyle name="貨幣 7 2" xfId="2593" xr:uid="{00000000-0005-0000-0000-0000250A0000}"/>
    <cellStyle name="貨幣 8" xfId="2594" xr:uid="{00000000-0005-0000-0000-0000260A0000}"/>
    <cellStyle name="貨幣 9" xfId="2595" xr:uid="{00000000-0005-0000-0000-0000270A0000}"/>
    <cellStyle name="超連結" xfId="1" builtinId="8"/>
    <cellStyle name="超連結 2" xfId="13" xr:uid="{00000000-0005-0000-0000-0000290A0000}"/>
    <cellStyle name="超連結 3" xfId="2600" xr:uid="{00000000-0005-0000-0000-00002A0A0000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81" formatCode="_-* #,##0_-;\-* #,##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81" formatCode="_-* #,##0_-;\-* #,##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81" formatCode="_-* #,##0_-;\-* #,##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border outline="0">
        <top style="thick">
          <color auto="1"/>
        </top>
      </border>
    </dxf>
    <dxf>
      <font>
        <name val="標楷體"/>
        <family val="4"/>
      </font>
    </dxf>
    <dxf>
      <font>
        <name val="標楷體"/>
        <family val="4"/>
      </font>
    </dxf>
    <dxf>
      <font>
        <name val="標楷體"/>
        <family val="4"/>
      </font>
    </dxf>
    <dxf>
      <font>
        <name val="標楷體"/>
        <family val="4"/>
      </font>
    </dxf>
    <dxf>
      <font>
        <name val="標楷體"/>
        <family val="4"/>
      </font>
    </dxf>
    <dxf>
      <numFmt numFmtId="181" formatCode="_-* #,##0_-;\-* #,##0_-;_-* &quot;-&quot;??_-;_-@_-"/>
    </dxf>
    <dxf>
      <numFmt numFmtId="181" formatCode="_-* #,##0_-;\-* #,##0_-;_-* &quot;-&quot;??_-;_-@_-"/>
    </dxf>
  </dxfs>
  <tableStyles count="0" defaultTableStyle="TableStyleMedium9" defaultPivotStyle="PivotStyleLight16"/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[20260729 test.xlsx]銷售漏斗!樞紐分析表3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標楷體" panose="03000509000000000000" pitchFamily="65" charset="-120"/>
                  <a:ea typeface="標楷體" panose="03000509000000000000" pitchFamily="65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銷售漏斗!$B$1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標楷體" panose="03000509000000000000" pitchFamily="65" charset="-12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銷售漏斗!$A$2:$A$9</c:f>
              <c:strCache>
                <c:ptCount val="7"/>
                <c:pt idx="0">
                  <c:v>成交</c:v>
                </c:pt>
                <c:pt idx="1">
                  <c:v>議價</c:v>
                </c:pt>
                <c:pt idx="2">
                  <c:v>詳細規劃及報價</c:v>
                </c:pt>
                <c:pt idx="3">
                  <c:v>簡易規劃及報價</c:v>
                </c:pt>
                <c:pt idx="4">
                  <c:v>電話或信件初次接觸</c:v>
                </c:pt>
                <c:pt idx="5">
                  <c:v>暫停</c:v>
                </c:pt>
                <c:pt idx="6">
                  <c:v>(空白)</c:v>
                </c:pt>
              </c:strCache>
            </c:strRef>
          </c:cat>
          <c:val>
            <c:numRef>
              <c:f>銷售漏斗!$B$2:$B$9</c:f>
              <c:numCache>
                <c:formatCode>_-* #,##0_-;\-* #,##0_-;_-* "-"??_-;_-@_-</c:formatCode>
                <c:ptCount val="7"/>
                <c:pt idx="0">
                  <c:v>4100000</c:v>
                </c:pt>
                <c:pt idx="1">
                  <c:v>1088000</c:v>
                </c:pt>
                <c:pt idx="2">
                  <c:v>5234900</c:v>
                </c:pt>
                <c:pt idx="3">
                  <c:v>3517600</c:v>
                </c:pt>
                <c:pt idx="4">
                  <c:v>1590000</c:v>
                </c:pt>
                <c:pt idx="5">
                  <c:v>643500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6-4767-A610-E98B5AF44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1647999"/>
        <c:axId val="651632191"/>
      </c:barChart>
      <c:catAx>
        <c:axId val="65164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651632191"/>
        <c:crosses val="autoZero"/>
        <c:auto val="1"/>
        <c:lblAlgn val="ctr"/>
        <c:lblOffset val="100"/>
        <c:noMultiLvlLbl val="0"/>
      </c:catAx>
      <c:valAx>
        <c:axId val="65163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65164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標楷體" panose="03000509000000000000" pitchFamily="65" charset="-12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標楷體" panose="03000509000000000000" pitchFamily="65" charset="-12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791882</xdr:colOff>
      <xdr:row>0</xdr:row>
      <xdr:rowOff>127000</xdr:rowOff>
    </xdr:from>
    <xdr:to>
      <xdr:col>10</xdr:col>
      <xdr:colOff>283882</xdr:colOff>
      <xdr:row>4</xdr:row>
      <xdr:rowOff>127000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型態別_Slicer">
              <a:extLst>
                <a:ext uri="{FF2B5EF4-FFF2-40B4-BE49-F238E27FC236}">
                  <a16:creationId xmlns:a16="http://schemas.microsoft.com/office/drawing/2014/main" id="{2948DC97-AEDF-DE14-578F-6A9F85AF6C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型態別_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127000"/>
              <a:ext cx="5334000" cy="76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此圖形代表表格交叉分析篩選器。此版本的 Excel 不支援表格交叉分析篩選器。
如果圖形在舊版 Excel 中修改，或如果活頁簿在 Excel 2007 或較舊版本中儲存，則無法使用交叉分析篩選器。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11430</xdr:rowOff>
    </xdr:from>
    <xdr:to>
      <xdr:col>14</xdr:col>
      <xdr:colOff>15240</xdr:colOff>
      <xdr:row>18</xdr:row>
      <xdr:rowOff>175260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9D0ABA0-3A1A-43F4-B9C0-37B09D0AA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127000</xdr:rowOff>
    </xdr:from>
    <xdr:to>
      <xdr:col>7</xdr:col>
      <xdr:colOff>425450</xdr:colOff>
      <xdr:row>4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型態別_PivotSlicer">
              <a:extLst>
                <a:ext uri="{FF2B5EF4-FFF2-40B4-BE49-F238E27FC236}">
                  <a16:creationId xmlns:a16="http://schemas.microsoft.com/office/drawing/2014/main" id="{43C8B093-7FB7-EEFB-7D15-C7A0896D5B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型態別_Pivot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" y="127000"/>
              <a:ext cx="6096000" cy="88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7611;&#21033;&#34920;\115.07%20&#27611;&#21033;&#34920;.xlsx" TargetMode="External"/><Relationship Id="rId1" Type="http://schemas.openxmlformats.org/officeDocument/2006/relationships/externalLinkPath" Target="file:///D:\&#27611;&#21033;&#34920;\115.07%20&#27611;&#21033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115.07毛利表"/>
      <sheetName val="物料"/>
      <sheetName val="115.07毛利表 (2)"/>
    </sheetNames>
    <sheetDataSet>
      <sheetData sheetId="0"/>
      <sheetData sheetId="1"/>
      <sheetData sheetId="2">
        <row r="38">
          <cell r="E38">
            <v>73764</v>
          </cell>
        </row>
        <row r="39">
          <cell r="E39">
            <v>29969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y_ASUS" refreshedDate="44466.561449768516" createdVersion="7" refreshedVersion="7" minRefreshableVersion="3" recordCount="14" xr:uid="{00000000-000A-0000-FFFF-FFFF07000000}">
  <cacheSource type="worksheet">
    <worksheetSource ref="A39:M53" sheet="07月報告"/>
  </cacheSource>
  <cacheFields count="13">
    <cacheField name="客戶名稱" numFmtId="0">
      <sharedItems/>
    </cacheField>
    <cacheField name="客戶名稱(英文)" numFmtId="0">
      <sharedItems containsBlank="1"/>
    </cacheField>
    <cacheField name="分類" numFmtId="0">
      <sharedItems containsBlank="1"/>
    </cacheField>
    <cacheField name="報單字號" numFmtId="0">
      <sharedItems containsBlank="1"/>
    </cacheField>
    <cacheField name="推薦機型" numFmtId="0">
      <sharedItems containsBlank="1"/>
    </cacheField>
    <cacheField name="套數" numFmtId="0">
      <sharedItems containsString="0" containsBlank="1" containsNumber="1" containsInteger="1" minValue="1" maxValue="3"/>
    </cacheField>
    <cacheField name="報價金額" numFmtId="177">
      <sharedItems containsString="0" containsBlank="1" containsNumber="1" containsInteger="1" minValue="149600" maxValue="3150000"/>
    </cacheField>
    <cacheField name="結案日期" numFmtId="14">
      <sharedItems containsNonDate="0" containsDate="1" containsString="0" containsBlank="1" minDate="2021-05-31T00:00:00" maxDate="2021-08-16T00:00:00"/>
    </cacheField>
    <cacheField name="百分比" numFmtId="9">
      <sharedItems containsMixedTypes="1" containsNumber="1" minValue="0" maxValue="1"/>
    </cacheField>
    <cacheField name="階段" numFmtId="9">
      <sharedItems containsBlank="1" count="7">
        <s v="成交"/>
        <s v="暫停"/>
        <s v="議價"/>
        <s v="詳細規劃及報價"/>
        <s v="簡易規劃及報價"/>
        <s v="電話或信件初次接觸"/>
        <m/>
      </sharedItems>
    </cacheField>
    <cacheField name="應用例" numFmtId="0">
      <sharedItems containsBlank="1"/>
    </cacheField>
    <cacheField name="應用例備註" numFmtId="0">
      <sharedItems containsNonDate="0" containsString="0" containsBlank="1"/>
    </cacheField>
    <cacheField name="說明" numFmtId="0">
      <sharedItems containsString="0" containsBlank="1" containsNumber="1" containsInteger="1" minValue="1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許靜修" refreshedDate="46232.698723842594" createdVersion="8" refreshedVersion="8" minRefreshableVersion="3" recordCount="59" xr:uid="{F780BBFB-DDC4-490B-A411-AE348FC77544}">
  <cacheSource type="worksheet">
    <worksheetSource name="銷貨資料表"/>
  </cacheSource>
  <cacheFields count="10">
    <cacheField name="銷貨日期" numFmtId="0">
      <sharedItems/>
    </cacheField>
    <cacheField name="客戶簡稱" numFmtId="0">
      <sharedItems count="42">
        <s v="峪豐"/>
        <s v="東陽"/>
        <s v="可成應材"/>
        <s v="健翔"/>
        <s v="競陽清潔"/>
        <s v="和勝"/>
        <s v="益德國際"/>
        <s v="盛浩-南"/>
        <s v="雙穩健-南"/>
        <s v="統一實業"/>
        <s v="大順機械"/>
        <s v="龍鋒科技"/>
        <s v="聯電"/>
        <s v="敏翔"/>
        <s v="銘岱"/>
        <s v="州巧"/>
        <s v="中鋼焊材"/>
        <s v="聯豪"/>
        <s v="緯恩"/>
        <s v="昱奕"/>
        <s v="豐盈"/>
        <s v="中華紙漿久"/>
        <s v="允統"/>
        <s v="大江生醫"/>
        <s v="豪堤"/>
        <s v="南良"/>
        <s v="銘機"/>
        <s v="新元豪"/>
        <s v="生達"/>
        <s v="璨揚"/>
        <s v="永丞亨"/>
        <s v="新進"/>
        <s v="伸長"/>
        <s v="帝寶新營"/>
        <s v="維達"/>
        <s v="芳泉"/>
        <s v="統一"/>
        <s v="大億"/>
        <s v="馬玉山"/>
        <s v="日煙"/>
        <s v="康那香"/>
        <s v="百事"/>
      </sharedItems>
    </cacheField>
    <cacheField name="發票號碼" numFmtId="0">
      <sharedItems/>
    </cacheField>
    <cacheField name="銷貨淨額" numFmtId="181">
      <sharedItems containsSemiMixedTypes="0" containsString="0" containsNumber="1" containsInteger="1" minValue="1100" maxValue="480000"/>
    </cacheField>
    <cacheField name="進貨金額" numFmtId="181">
      <sharedItems containsSemiMixedTypes="0" containsString="0" containsNumber="1" containsInteger="1" minValue="0" maxValue="279291"/>
    </cacheField>
    <cacheField name="毛利金額" numFmtId="0">
      <sharedItems containsSemiMixedTypes="0" containsString="0" containsNumber="1" containsInteger="1" minValue="-644" maxValue="200709"/>
    </cacheField>
    <cacheField name="毛利率" numFmtId="10">
      <sharedItems containsSemiMixedTypes="0" containsString="0" containsNumber="1" minValue="-2.824561403508772E-2" maxValue="1"/>
    </cacheField>
    <cacheField name="型態別" numFmtId="0">
      <sharedItems count="8">
        <s v="PKG"/>
        <s v="UV"/>
        <s v="PA"/>
        <s v="PPC"/>
        <s v="ICS"/>
        <s v="塗佈代工"/>
        <s v="貼合"/>
        <s v="NW"/>
      </sharedItems>
    </cacheField>
    <cacheField name="業務代表" numFmtId="0">
      <sharedItems count="4">
        <s v="許靜修"/>
        <s v="陳家霖"/>
        <s v="盧昱愷"/>
        <s v="林壬杰"/>
      </sharedItems>
    </cacheField>
    <cacheField name="銷貨單別-單號" numFmtId="0">
      <sharedItems/>
    </cacheField>
  </cacheFields>
  <extLst>
    <ext xmlns:x14="http://schemas.microsoft.com/office/spreadsheetml/2009/9/main" uri="{725AE2AE-9491-48be-B2B4-4EB974FC3084}">
      <x14:pivotCacheDefinition pivotCacheId="20180936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堤維西"/>
    <s v="TYC"/>
    <s v="T"/>
    <s v="SF-703"/>
    <s v="VA25"/>
    <n v="1"/>
    <n v="950000"/>
    <d v="2021-05-31T00:00:00"/>
    <n v="1"/>
    <x v="0"/>
    <s v="車燈"/>
    <m/>
    <n v="1"/>
  </r>
  <r>
    <s v="欣富發"/>
    <m/>
    <s v="E"/>
    <s v="SG-223"/>
    <s v="Smart PC Pump"/>
    <n v="1"/>
    <n v="643500"/>
    <d v="2021-05-31T00:00:00"/>
    <n v="0"/>
    <x v="1"/>
    <s v="車燈"/>
    <m/>
    <n v="2"/>
  </r>
  <r>
    <s v="格楊"/>
    <s v="Ger Yang"/>
    <s v="O"/>
    <s v="SG-173"/>
    <s v="M9"/>
    <n v="1"/>
    <n v="358000"/>
    <d v="2021-05-31T00:00:00"/>
    <n v="0.8"/>
    <x v="2"/>
    <s v="車燈"/>
    <m/>
    <n v="3"/>
  </r>
  <r>
    <s v="明安"/>
    <s v="Advanced"/>
    <s v="E"/>
    <s v="SG-194"/>
    <s v="2K"/>
    <n v="1"/>
    <n v="3150000"/>
    <d v="2021-05-31T00:00:00"/>
    <n v="1"/>
    <x v="0"/>
    <s v="車燈"/>
    <m/>
    <n v="4"/>
  </r>
  <r>
    <s v="諾強"/>
    <s v="NordST"/>
    <s v="O"/>
    <m/>
    <s v="JL3OO &amp; SP-GUN"/>
    <n v="1"/>
    <n v="730000"/>
    <d v="2021-06-30T00:00:00"/>
    <n v="0.8"/>
    <x v="2"/>
    <s v="雪鏡"/>
    <m/>
    <n v="5"/>
  </r>
  <r>
    <s v="期美(鑫隆興)"/>
    <s v="Magtonic"/>
    <s v="E"/>
    <s v="SG-101"/>
    <s v="跑帶上油機"/>
    <n v="2"/>
    <n v="1778400"/>
    <d v="2021-08-15T00:00:00"/>
    <n v="0.6"/>
    <x v="3"/>
    <s v="跑步機"/>
    <m/>
    <n v="6"/>
  </r>
  <r>
    <s v="台灣金石利"/>
    <s v="TAIWAN GINS LEADER "/>
    <s v="E"/>
    <s v="SG-267-1"/>
    <s v="NDC-200L"/>
    <n v="1"/>
    <n v="2380000"/>
    <d v="2021-06-30T00:00:00"/>
    <n v="0.2"/>
    <x v="4"/>
    <s v="石頭瓦楞紙"/>
    <m/>
    <n v="7"/>
  </r>
  <r>
    <s v="龍盟"/>
    <s v="LUNG MENG"/>
    <s v="O"/>
    <m/>
    <s v="JL300-20"/>
    <n v="3"/>
    <n v="1590000"/>
    <d v="2021-06-30T00:00:00"/>
    <n v="0.05"/>
    <x v="5"/>
    <s v="吹袋機"/>
    <m/>
    <n v="8"/>
  </r>
  <r>
    <s v="東陽"/>
    <s v="TYG"/>
    <s v="T"/>
    <s v="SG-260"/>
    <s v="D4L"/>
    <n v="1"/>
    <n v="149600"/>
    <d v="2021-05-31T00:00:00"/>
    <n v="0.2"/>
    <x v="4"/>
    <s v="包裝"/>
    <m/>
    <n v="9"/>
  </r>
  <r>
    <s v="進發"/>
    <m/>
    <s v="E"/>
    <s v="SG-344"/>
    <s v="AP20"/>
    <n v="1"/>
    <n v="988000"/>
    <d v="2021-06-01T00:00:00"/>
    <n v="0.2"/>
    <x v="4"/>
    <s v="車燈"/>
    <m/>
    <n v="10"/>
  </r>
  <r>
    <s v="美輝"/>
    <m/>
    <s v="T"/>
    <s v="SG-345"/>
    <s v="AP20"/>
    <n v="1"/>
    <n v="637500"/>
    <d v="2021-06-01T00:00:00"/>
    <n v="0.6"/>
    <x v="3"/>
    <s v="車燈"/>
    <m/>
    <n v="11"/>
  </r>
  <r>
    <s v="明安"/>
    <s v="Advanced"/>
    <s v="E"/>
    <s v="SG-346"/>
    <s v="SEE 改雙槍"/>
    <n v="1"/>
    <n v="1880000"/>
    <d v="2021-06-02T00:00:00"/>
    <n v="0.6"/>
    <x v="3"/>
    <s v="高爾夫球頭"/>
    <m/>
    <n v="12"/>
  </r>
  <r>
    <s v="大億"/>
    <s v="Tayih"/>
    <s v="E"/>
    <s v="SG-337"/>
    <s v="發泡 改雙槍"/>
    <n v="1"/>
    <n v="939000"/>
    <d v="2021-06-03T00:00:00"/>
    <n v="0.6"/>
    <x v="3"/>
    <s v="車燈"/>
    <m/>
    <n v="13"/>
  </r>
  <r>
    <s v="***"/>
    <m/>
    <m/>
    <m/>
    <m/>
    <m/>
    <m/>
    <m/>
    <s v=""/>
    <x v="6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2026/07/01"/>
    <x v="0"/>
    <s v="ZX44838367"/>
    <n v="102800"/>
    <n v="39069"/>
    <n v="63731"/>
    <n v="0.61995136186770428"/>
    <x v="0"/>
    <x v="0"/>
    <s v="C231-260701001"/>
  </r>
  <r>
    <s v="2026/07/01"/>
    <x v="1"/>
    <s v="ZX44838368"/>
    <n v="198700"/>
    <n v="113857"/>
    <n v="84843"/>
    <n v="0.42699043784599899"/>
    <x v="0"/>
    <x v="0"/>
    <s v="C231-260701002"/>
  </r>
  <r>
    <s v="2026/07/01"/>
    <x v="2"/>
    <s v="CA41734301"/>
    <n v="121600"/>
    <n v="77964"/>
    <n v="43636"/>
    <n v="0.35884868421052629"/>
    <x v="1"/>
    <x v="1"/>
    <s v="C231-260701004"/>
  </r>
  <r>
    <s v="2026/07/13"/>
    <x v="2"/>
    <s v="CA41734302"/>
    <n v="45240"/>
    <n v="24766"/>
    <n v="20474"/>
    <n v="0.45256410256410257"/>
    <x v="1"/>
    <x v="0"/>
    <s v="C231-260713001"/>
  </r>
  <r>
    <s v="2026/07/07"/>
    <x v="3"/>
    <s v="CA41734303"/>
    <n v="17100"/>
    <n v="5576"/>
    <n v="11524"/>
    <n v="0.6739181286549708"/>
    <x v="0"/>
    <x v="2"/>
    <s v="C231-260707001"/>
  </r>
  <r>
    <s v="2026/07/09"/>
    <x v="4"/>
    <s v="CA41734304"/>
    <n v="40100"/>
    <n v="15126"/>
    <n v="24974"/>
    <n v="0.62279301745635907"/>
    <x v="0"/>
    <x v="3"/>
    <s v="C231-260709001"/>
  </r>
  <r>
    <s v="2026/07/13"/>
    <x v="3"/>
    <s v="CA41734305"/>
    <n v="48600"/>
    <n v="22304"/>
    <n v="26296"/>
    <n v="0.54106995884773668"/>
    <x v="0"/>
    <x v="2"/>
    <s v="C231-260713002"/>
  </r>
  <r>
    <s v="2026/07/14"/>
    <x v="5"/>
    <s v="CA41734306"/>
    <n v="480000"/>
    <n v="279291"/>
    <n v="200709"/>
    <n v="0.41814374999999998"/>
    <x v="2"/>
    <x v="3"/>
    <s v="C231-260714001"/>
  </r>
  <r>
    <s v="2026/07/14"/>
    <x v="6"/>
    <s v="CA41734307"/>
    <n v="12000"/>
    <n v="210"/>
    <n v="11790"/>
    <n v="0.98250000000000004"/>
    <x v="2"/>
    <x v="3"/>
    <s v="C231-260714002"/>
  </r>
  <r>
    <s v="2026/07/24"/>
    <x v="7"/>
    <s v="CA41734308"/>
    <n v="28500"/>
    <n v="1840"/>
    <n v="26660"/>
    <n v="0.93543859649122807"/>
    <x v="3"/>
    <x v="3"/>
    <s v="C231-260724010"/>
  </r>
  <r>
    <s v="2026/07/01"/>
    <x v="8"/>
    <s v="CA44807400"/>
    <n v="23904"/>
    <n v="9328"/>
    <n v="14576"/>
    <n v="0.60977242302543511"/>
    <x v="0"/>
    <x v="0"/>
    <s v="C231-260701005"/>
  </r>
  <r>
    <s v="2026/07/01"/>
    <x v="8"/>
    <s v="CA44807401"/>
    <n v="13294"/>
    <n v="5682"/>
    <n v="7612"/>
    <n v="0.57258913795697308"/>
    <x v="0"/>
    <x v="0"/>
    <s v="C231-260701006"/>
  </r>
  <r>
    <s v="2026/07/01"/>
    <x v="9"/>
    <s v="CA44807402"/>
    <n v="19950"/>
    <n v="11777"/>
    <n v="8173"/>
    <n v="0.40967418546365914"/>
    <x v="4"/>
    <x v="1"/>
    <s v="C231-260701007"/>
  </r>
  <r>
    <s v="2026/07/01"/>
    <x v="10"/>
    <s v="CA44807403"/>
    <n v="12400"/>
    <n v="6970"/>
    <n v="5430"/>
    <n v="0.43790322580645163"/>
    <x v="0"/>
    <x v="2"/>
    <s v="C231-260701008"/>
  </r>
  <r>
    <s v="2026/07/01"/>
    <x v="11"/>
    <s v="CA44807405"/>
    <n v="25000"/>
    <n v="0"/>
    <n v="25000"/>
    <n v="1"/>
    <x v="2"/>
    <x v="3"/>
    <s v="C231-260701009"/>
  </r>
  <r>
    <s v="2026/07/01"/>
    <x v="12"/>
    <s v="CA44807406"/>
    <n v="162000"/>
    <n v="93192"/>
    <n v="68808"/>
    <n v="0.42474074074074075"/>
    <x v="1"/>
    <x v="0"/>
    <s v="C231-260701010"/>
  </r>
  <r>
    <s v="2026/07/01"/>
    <x v="13"/>
    <s v="CA44807407"/>
    <n v="55400"/>
    <n v="11722"/>
    <n v="43678"/>
    <n v="0.78841155234657034"/>
    <x v="2"/>
    <x v="2"/>
    <s v="C231-260701011"/>
  </r>
  <r>
    <s v="2026/07/01"/>
    <x v="14"/>
    <s v="CA44807408"/>
    <n v="52520"/>
    <n v="9575"/>
    <n v="42945"/>
    <n v="0.81768849961919265"/>
    <x v="2"/>
    <x v="3"/>
    <s v="C231-260701012"/>
  </r>
  <r>
    <s v="2026/07/01"/>
    <x v="15"/>
    <s v="CA44807409"/>
    <n v="53000"/>
    <n v="11554"/>
    <n v="41446"/>
    <n v="0.78200000000000003"/>
    <x v="0"/>
    <x v="2"/>
    <s v="C231-260701013"/>
  </r>
  <r>
    <s v="2026/07/01"/>
    <x v="16"/>
    <s v="CA44807410"/>
    <n v="44950"/>
    <n v="17604"/>
    <n v="27346"/>
    <n v="0.60836484983314798"/>
    <x v="0"/>
    <x v="3"/>
    <s v="C231-260701014"/>
  </r>
  <r>
    <s v="2026/07/01"/>
    <x v="17"/>
    <s v="CA44807411"/>
    <n v="11000"/>
    <n v="4517"/>
    <n v="6483"/>
    <n v="0.58936363636363631"/>
    <x v="2"/>
    <x v="3"/>
    <s v="C231-260701015"/>
  </r>
  <r>
    <s v="2026/07/01"/>
    <x v="18"/>
    <s v="CA44807412"/>
    <n v="4800"/>
    <n v="0"/>
    <n v="4800"/>
    <n v="1"/>
    <x v="2"/>
    <x v="3"/>
    <s v="C231-260701016"/>
  </r>
  <r>
    <s v="2026/07/03"/>
    <x v="19"/>
    <s v="CA44807413"/>
    <n v="23380"/>
    <n v="0"/>
    <n v="23380"/>
    <n v="1"/>
    <x v="2"/>
    <x v="3"/>
    <s v="C231-260703001"/>
  </r>
  <r>
    <s v="2026/07/06"/>
    <x v="20"/>
    <s v="CA44807414"/>
    <n v="20860"/>
    <n v="0"/>
    <n v="20860"/>
    <n v="1"/>
    <x v="5"/>
    <x v="1"/>
    <s v="C231-260706001"/>
  </r>
  <r>
    <s v="2026/07/06"/>
    <x v="21"/>
    <s v="CA44807415"/>
    <n v="11400"/>
    <n v="5154"/>
    <n v="6246"/>
    <n v="0.54789473684210521"/>
    <x v="0"/>
    <x v="3"/>
    <s v="C231-260706002"/>
  </r>
  <r>
    <s v="2026/07/06"/>
    <x v="22"/>
    <s v="CA44807416"/>
    <n v="45000"/>
    <n v="17658"/>
    <n v="27342"/>
    <n v="0.60760000000000003"/>
    <x v="0"/>
    <x v="3"/>
    <s v="C231-260706003"/>
  </r>
  <r>
    <s v="2026/07/07"/>
    <x v="23"/>
    <s v="CA44807417"/>
    <n v="29800"/>
    <n v="16264"/>
    <n v="13536"/>
    <n v="0.45422818791946307"/>
    <x v="0"/>
    <x v="2"/>
    <s v="C231-260707002"/>
  </r>
  <r>
    <s v="2026/07/07"/>
    <x v="24"/>
    <s v="CA44807418"/>
    <n v="98780"/>
    <n v="31189"/>
    <n v="67591"/>
    <n v="0.68425794695282449"/>
    <x v="3"/>
    <x v="2"/>
    <s v="C231-260707003"/>
  </r>
  <r>
    <s v="2026/07/07"/>
    <x v="13"/>
    <s v="CA44807420"/>
    <n v="23100"/>
    <n v="5666"/>
    <n v="17434"/>
    <n v="0.75471861471861468"/>
    <x v="2"/>
    <x v="2"/>
    <s v="C231-260707004"/>
  </r>
  <r>
    <s v="2026/07/07"/>
    <x v="25"/>
    <s v="CA44807422"/>
    <n v="26560"/>
    <n v="1414"/>
    <n v="25146"/>
    <n v="0.9467620481927711"/>
    <x v="6"/>
    <x v="2"/>
    <s v="C231-260707005"/>
  </r>
  <r>
    <s v="2026/07/07"/>
    <x v="25"/>
    <s v="CA44807423"/>
    <n v="79600"/>
    <n v="25262"/>
    <n v="54338"/>
    <n v="0.68263819095477385"/>
    <x v="6"/>
    <x v="2"/>
    <s v="C231-260707006"/>
  </r>
  <r>
    <s v="2026/07/07"/>
    <x v="26"/>
    <s v="CA44807424"/>
    <n v="200000"/>
    <n v="95219"/>
    <n v="104781"/>
    <n v="0.52390499999999995"/>
    <x v="2"/>
    <x v="3"/>
    <s v="C231-260707007"/>
  </r>
  <r>
    <s v="2026/07/07"/>
    <x v="27"/>
    <s v="CA44807426"/>
    <n v="4700"/>
    <n v="992"/>
    <n v="3708"/>
    <n v="0.78893617021276596"/>
    <x v="2"/>
    <x v="3"/>
    <s v="C231-260707009"/>
  </r>
  <r>
    <s v="2026/07/08"/>
    <x v="28"/>
    <s v="CA44807427"/>
    <n v="5600"/>
    <n v="2488"/>
    <n v="3112"/>
    <n v="0.55571428571428572"/>
    <x v="0"/>
    <x v="3"/>
    <s v="C231-260708001"/>
  </r>
  <r>
    <s v="2026/07/09"/>
    <x v="29"/>
    <s v="CA44807428"/>
    <n v="1600"/>
    <n v="0"/>
    <n v="1600"/>
    <n v="1"/>
    <x v="2"/>
    <x v="3"/>
    <s v="C231-260709002"/>
  </r>
  <r>
    <s v="2026/07/09"/>
    <x v="30"/>
    <s v="CA44807429"/>
    <n v="3600"/>
    <n v="0"/>
    <n v="3600"/>
    <n v="1"/>
    <x v="2"/>
    <x v="3"/>
    <s v="C231-260709003"/>
  </r>
  <r>
    <s v="2026/07/09"/>
    <x v="31"/>
    <s v="CA44807430"/>
    <n v="5500"/>
    <n v="0"/>
    <n v="5500"/>
    <n v="1"/>
    <x v="2"/>
    <x v="3"/>
    <s v="C231-260709004"/>
  </r>
  <r>
    <s v="2026/07/09"/>
    <x v="11"/>
    <s v="CA44807432"/>
    <n v="3300"/>
    <n v="0"/>
    <n v="3300"/>
    <n v="1"/>
    <x v="2"/>
    <x v="3"/>
    <s v="C231-260709005"/>
  </r>
  <r>
    <s v="2026/07/13"/>
    <x v="32"/>
    <s v="CA44807433"/>
    <n v="1100"/>
    <n v="260"/>
    <n v="840"/>
    <n v="0.76363636363636367"/>
    <x v="3"/>
    <x v="2"/>
    <s v="C231-260713003"/>
  </r>
  <r>
    <s v="2026/07/13"/>
    <x v="22"/>
    <s v="CA44807434"/>
    <n v="16100"/>
    <n v="7084"/>
    <n v="9016"/>
    <n v="0.56000000000000005"/>
    <x v="0"/>
    <x v="2"/>
    <s v="C231-260713004"/>
  </r>
  <r>
    <s v="2026/07/14"/>
    <x v="33"/>
    <s v="CA44807435"/>
    <n v="25000"/>
    <n v="277"/>
    <n v="24723"/>
    <n v="0.98892000000000002"/>
    <x v="2"/>
    <x v="3"/>
    <s v="C231-260714003"/>
  </r>
  <r>
    <s v="2026/07/14"/>
    <x v="34"/>
    <s v="CA44807436"/>
    <n v="22800"/>
    <n v="23444"/>
    <n v="-644"/>
    <n v="-2.824561403508772E-2"/>
    <x v="7"/>
    <x v="0"/>
    <s v="C231-260714004"/>
  </r>
  <r>
    <s v="2026/07/15"/>
    <x v="9"/>
    <s v="CA44807437"/>
    <n v="42000"/>
    <n v="16856"/>
    <n v="25144"/>
    <n v="0.59866666666666668"/>
    <x v="4"/>
    <x v="0"/>
    <s v="C231-260715001"/>
  </r>
  <r>
    <s v="2026/07/20"/>
    <x v="12"/>
    <s v="CA44807438"/>
    <n v="73050"/>
    <n v="42434"/>
    <n v="30616"/>
    <n v="0.41911019849418207"/>
    <x v="1"/>
    <x v="0"/>
    <s v="C231-260720001"/>
  </r>
  <r>
    <s v="2026/07/20"/>
    <x v="35"/>
    <s v="CA44807439"/>
    <n v="136500"/>
    <n v="91570"/>
    <n v="44930"/>
    <n v="0.32915750915750913"/>
    <x v="4"/>
    <x v="1"/>
    <s v="C231-260720002"/>
  </r>
  <r>
    <s v="2026/07/20"/>
    <x v="36"/>
    <s v="CA44807440"/>
    <n v="29000"/>
    <n v="15149"/>
    <n v="13851"/>
    <n v="0.4776206896551724"/>
    <x v="0"/>
    <x v="2"/>
    <s v="C231-260720003"/>
  </r>
  <r>
    <s v="2026/07/20"/>
    <x v="36"/>
    <s v="CA44807441"/>
    <n v="47000"/>
    <n v="4600"/>
    <n v="42400"/>
    <n v="0.90212765957446805"/>
    <x v="0"/>
    <x v="2"/>
    <s v="C231-260720004"/>
  </r>
  <r>
    <s v="2026/07/20"/>
    <x v="36"/>
    <s v="CA44807442"/>
    <n v="15200"/>
    <n v="7556"/>
    <n v="7644"/>
    <n v="0.50289473684210528"/>
    <x v="0"/>
    <x v="2"/>
    <s v="C231-260720005"/>
  </r>
  <r>
    <s v="2026/07/20"/>
    <x v="36"/>
    <s v="CA44807443"/>
    <n v="31540"/>
    <n v="20810"/>
    <n v="10730"/>
    <n v="0.34020291693088139"/>
    <x v="0"/>
    <x v="2"/>
    <s v="C231-260720006"/>
  </r>
  <r>
    <s v="2026/07/20"/>
    <x v="37"/>
    <s v="CA44807444"/>
    <n v="15000"/>
    <n v="0"/>
    <n v="15000"/>
    <n v="1"/>
    <x v="2"/>
    <x v="2"/>
    <s v="C231-260720007"/>
  </r>
  <r>
    <s v="2026/07/23"/>
    <x v="23"/>
    <s v="CA44807445"/>
    <n v="4560"/>
    <n v="2583"/>
    <n v="1977"/>
    <n v="0.43355263157894736"/>
    <x v="0"/>
    <x v="2"/>
    <s v="C231-260723001"/>
  </r>
  <r>
    <s v="2026/07/24"/>
    <x v="25"/>
    <s v="CA44807451"/>
    <n v="5550"/>
    <n v="32"/>
    <n v="5518"/>
    <n v="0.99423423423423418"/>
    <x v="6"/>
    <x v="2"/>
    <s v="C231-260724002"/>
  </r>
  <r>
    <s v="2026/07/24"/>
    <x v="25"/>
    <s v="CA44807452"/>
    <n v="22520"/>
    <n v="0"/>
    <n v="22520"/>
    <n v="1"/>
    <x v="6"/>
    <x v="2"/>
    <s v="C231-260724003"/>
  </r>
  <r>
    <s v="2026/07/24"/>
    <x v="32"/>
    <s v="CA44807453"/>
    <n v="29000"/>
    <n v="2111"/>
    <n v="26889"/>
    <n v="0.92720689655172417"/>
    <x v="3"/>
    <x v="2"/>
    <s v="C231-260724004"/>
  </r>
  <r>
    <s v="2026/07/24"/>
    <x v="38"/>
    <s v="CA44807454"/>
    <n v="53000"/>
    <n v="11436"/>
    <n v="41564"/>
    <n v="0.78422641509433966"/>
    <x v="0"/>
    <x v="2"/>
    <s v="C231-260724005"/>
  </r>
  <r>
    <s v="2026/07/24"/>
    <x v="38"/>
    <s v="CA44807455"/>
    <n v="3300"/>
    <n v="692"/>
    <n v="2608"/>
    <n v="0.79030303030303028"/>
    <x v="3"/>
    <x v="2"/>
    <s v="C231-260724006"/>
  </r>
  <r>
    <s v="2026/07/24"/>
    <x v="39"/>
    <s v="CA44807456"/>
    <n v="118240"/>
    <n v="29804"/>
    <n v="88436"/>
    <n v="0.74793640054127197"/>
    <x v="0"/>
    <x v="2"/>
    <s v="C231-260724007"/>
  </r>
  <r>
    <s v="2026/07/24"/>
    <x v="40"/>
    <s v="CA44807457"/>
    <n v="44760"/>
    <n v="16926"/>
    <n v="27834"/>
    <n v="0.62184986595174263"/>
    <x v="7"/>
    <x v="0"/>
    <s v="C231-260724008"/>
  </r>
  <r>
    <s v="2026/07/24"/>
    <x v="41"/>
    <s v="CA44807458"/>
    <n v="4300"/>
    <n v="482"/>
    <n v="3818"/>
    <n v="0.88790697674418606"/>
    <x v="0"/>
    <x v="2"/>
    <s v="C231-260724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樞紐分析表3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showHeaders="0" outline="1" outlineData="1" multipleFieldFilters="0" chartFormat="3">
  <location ref="A1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axis="axisRow" showAll="0">
      <items count="8">
        <item x="0"/>
        <item x="2"/>
        <item x="3"/>
        <item x="4"/>
        <item x="5"/>
        <item x="1"/>
        <item x="6"/>
        <item t="default"/>
      </items>
    </pivotField>
    <pivotField showAll="0"/>
    <pivotField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加總 - 報價金額" fld="6" baseField="9" baseItem="0" numFmtId="181"/>
  </dataFields>
  <formats count="7"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9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A43D0-C3DA-45EF-82B6-DB4CBD790647}" name="銷貨樞紐分析" cacheId="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7:C95" firstHeaderRow="0" firstDataRow="1" firstDataCol="1" rowPageCount="1" colPageCount="1"/>
  <pivotFields count="10">
    <pivotField showAll="0"/>
    <pivotField axis="axisRow" showAll="0">
      <items count="43">
        <item x="23"/>
        <item x="10"/>
        <item x="37"/>
        <item x="21"/>
        <item x="16"/>
        <item x="22"/>
        <item x="39"/>
        <item x="2"/>
        <item x="30"/>
        <item x="28"/>
        <item x="15"/>
        <item x="41"/>
        <item x="32"/>
        <item x="5"/>
        <item x="1"/>
        <item x="35"/>
        <item x="25"/>
        <item x="33"/>
        <item x="19"/>
        <item x="0"/>
        <item x="6"/>
        <item x="38"/>
        <item x="3"/>
        <item x="40"/>
        <item x="13"/>
        <item x="7"/>
        <item x="36"/>
        <item x="9"/>
        <item x="27"/>
        <item x="31"/>
        <item x="34"/>
        <item x="24"/>
        <item x="14"/>
        <item x="26"/>
        <item x="18"/>
        <item x="11"/>
        <item x="29"/>
        <item x="12"/>
        <item x="17"/>
        <item x="20"/>
        <item x="8"/>
        <item x="4"/>
        <item t="default"/>
      </items>
    </pivotField>
    <pivotField showAll="0"/>
    <pivotField dataField="1" numFmtId="181" showAll="0"/>
    <pivotField numFmtId="181" showAll="0"/>
    <pivotField dataField="1" showAll="0"/>
    <pivotField numFmtId="10" showAll="0"/>
    <pivotField axis="axisPage" showAll="0">
      <items count="9">
        <item x="4"/>
        <item x="7"/>
        <item x="2"/>
        <item x="0"/>
        <item x="3"/>
        <item x="1"/>
        <item x="6"/>
        <item x="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2">
    <field x="1"/>
    <field x="8"/>
  </rowFields>
  <rowItems count="88">
    <i>
      <x/>
    </i>
    <i r="1">
      <x v="3"/>
    </i>
    <i>
      <x v="1"/>
    </i>
    <i r="1">
      <x v="3"/>
    </i>
    <i>
      <x v="2"/>
    </i>
    <i r="1">
      <x v="3"/>
    </i>
    <i>
      <x v="3"/>
    </i>
    <i r="1">
      <x/>
    </i>
    <i>
      <x v="4"/>
    </i>
    <i r="1">
      <x/>
    </i>
    <i>
      <x v="5"/>
    </i>
    <i r="1">
      <x/>
    </i>
    <i r="1">
      <x v="3"/>
    </i>
    <i>
      <x v="6"/>
    </i>
    <i r="1">
      <x v="3"/>
    </i>
    <i>
      <x v="7"/>
    </i>
    <i r="1">
      <x v="1"/>
    </i>
    <i r="1">
      <x v="2"/>
    </i>
    <i>
      <x v="8"/>
    </i>
    <i r="1">
      <x/>
    </i>
    <i>
      <x v="9"/>
    </i>
    <i r="1">
      <x/>
    </i>
    <i>
      <x v="10"/>
    </i>
    <i r="1">
      <x v="3"/>
    </i>
    <i>
      <x v="11"/>
    </i>
    <i r="1">
      <x v="3"/>
    </i>
    <i>
      <x v="12"/>
    </i>
    <i r="1">
      <x v="3"/>
    </i>
    <i>
      <x v="13"/>
    </i>
    <i r="1">
      <x/>
    </i>
    <i>
      <x v="14"/>
    </i>
    <i r="1">
      <x v="1"/>
    </i>
    <i>
      <x v="15"/>
    </i>
    <i r="1">
      <x v="2"/>
    </i>
    <i>
      <x v="16"/>
    </i>
    <i r="1">
      <x v="3"/>
    </i>
    <i>
      <x v="17"/>
    </i>
    <i r="1">
      <x/>
    </i>
    <i>
      <x v="18"/>
    </i>
    <i r="1">
      <x/>
    </i>
    <i>
      <x v="19"/>
    </i>
    <i r="1">
      <x v="1"/>
    </i>
    <i>
      <x v="20"/>
    </i>
    <i r="1">
      <x/>
    </i>
    <i>
      <x v="21"/>
    </i>
    <i r="1">
      <x v="3"/>
    </i>
    <i>
      <x v="22"/>
    </i>
    <i r="1">
      <x v="3"/>
    </i>
    <i>
      <x v="23"/>
    </i>
    <i r="1">
      <x v="1"/>
    </i>
    <i>
      <x v="24"/>
    </i>
    <i r="1">
      <x v="3"/>
    </i>
    <i>
      <x v="25"/>
    </i>
    <i r="1">
      <x/>
    </i>
    <i>
      <x v="26"/>
    </i>
    <i r="1">
      <x v="3"/>
    </i>
    <i>
      <x v="27"/>
    </i>
    <i r="1">
      <x v="1"/>
    </i>
    <i r="1">
      <x v="2"/>
    </i>
    <i>
      <x v="28"/>
    </i>
    <i r="1">
      <x/>
    </i>
    <i>
      <x v="29"/>
    </i>
    <i r="1">
      <x/>
    </i>
    <i>
      <x v="30"/>
    </i>
    <i r="1">
      <x v="1"/>
    </i>
    <i>
      <x v="31"/>
    </i>
    <i r="1">
      <x v="3"/>
    </i>
    <i>
      <x v="32"/>
    </i>
    <i r="1">
      <x/>
    </i>
    <i>
      <x v="33"/>
    </i>
    <i r="1">
      <x/>
    </i>
    <i>
      <x v="34"/>
    </i>
    <i r="1">
      <x/>
    </i>
    <i>
      <x v="35"/>
    </i>
    <i r="1">
      <x/>
    </i>
    <i>
      <x v="36"/>
    </i>
    <i r="1">
      <x/>
    </i>
    <i>
      <x v="37"/>
    </i>
    <i r="1">
      <x v="1"/>
    </i>
    <i>
      <x v="38"/>
    </i>
    <i r="1">
      <x/>
    </i>
    <i>
      <x v="39"/>
    </i>
    <i r="1">
      <x v="2"/>
    </i>
    <i>
      <x v="40"/>
    </i>
    <i r="1">
      <x v="1"/>
    </i>
    <i>
      <x v="41"/>
    </i>
    <i r="1"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加總 - 銷貨淨額" fld="3" baseField="0" baseItem="0" numFmtId="3"/>
    <dataField name="加總 - 毛利金額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型態別1" xr10:uid="{01AF1E74-AF99-485B-85CA-6353F3560CDA}" sourceName="型態別">
  <pivotTables>
    <pivotTable tabId="14" name="銷貨樞紐分析"/>
  </pivotTables>
  <data>
    <tabular pivotCacheId="2018093637">
      <items count="8">
        <i x="4" s="1"/>
        <i x="7" s="1"/>
        <i x="2" s="1"/>
        <i x="0" s="1"/>
        <i x="3" s="1"/>
        <i x="1" s="1"/>
        <i x="6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型態別" xr10:uid="{68063AE2-B525-4A40-8660-61D0B786D61A}" sourceName="型態別">
  <extLst>
    <x:ext xmlns:x15="http://schemas.microsoft.com/office/spreadsheetml/2010/11/main" uri="{2F2917AC-EB37-4324-AD4E-5DD8C200BD13}">
      <x15:tableSlicerCache tableId="1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型態別_Slicer" xr10:uid="{FF59980F-0686-4139-9EBA-74E7EA6353CF}" cache="Slicer_型態別" caption="型態別 篩選按鈕" columnCount="6" rowHeight="22013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型態別_PivotSlicer" xr10:uid="{87E13EB5-5258-434F-BB69-61693834B7D4}" cache="Slicer_型態別1" caption="選擇型態別 (PKG / UV / PA / PPC ...)" columnCount="6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320B7-2B6A-4B6C-929C-A3A910BAD187}" name="銷貨資料表" displayName="銷貨資料表" ref="A13:J72" totalsRowShown="0" headerRowBorderDxfId="10" tableBorderDxfId="11">
  <autoFilter ref="A13:J72" xr:uid="{573320B7-2B6A-4B6C-929C-A3A910BAD187}"/>
  <tableColumns count="10">
    <tableColumn id="1" xr3:uid="{69F2CEBB-139F-47BA-B346-A93A438EE43B}" name="銷貨日期" dataDxfId="9" dataCellStyle="一般 2"/>
    <tableColumn id="2" xr3:uid="{BA905B01-0726-4F42-8F09-1E850FBA28F6}" name="客戶簡稱" dataDxfId="8" dataCellStyle="一般 2"/>
    <tableColumn id="3" xr3:uid="{8BDB492E-6EDF-46C6-849A-A23C45B57CF6}" name="發票號碼" dataDxfId="7" dataCellStyle="一般 2"/>
    <tableColumn id="4" xr3:uid="{4327CEA8-CC6A-416C-829C-42D4BC83D327}" name="銷貨淨額" dataDxfId="6" dataCellStyle="千分位"/>
    <tableColumn id="5" xr3:uid="{925564B4-CD15-479C-BC5F-0BD5A6277DC0}" name="進貨金額" dataDxfId="5" dataCellStyle="千分位"/>
    <tableColumn id="6" xr3:uid="{8C586522-1BF3-4576-8E67-028BC6D5446B}" name="毛利金額" dataDxfId="4" dataCellStyle="千分位">
      <calculatedColumnFormula>D14-E14</calculatedColumnFormula>
    </tableColumn>
    <tableColumn id="7" xr3:uid="{89A3E7F5-A3B3-4953-8E9C-CF60F983FF39}" name="毛利率" dataDxfId="3" dataCellStyle="百分比">
      <calculatedColumnFormula>F14/D14</calculatedColumnFormula>
    </tableColumn>
    <tableColumn id="8" xr3:uid="{21B271EA-28E8-47C8-ADCD-4F96C3304ECC}" name="型態別" dataDxfId="2" dataCellStyle="一般 2"/>
    <tableColumn id="9" xr3:uid="{BF4F4730-5D06-44C8-B395-7B6AE43A0BE2}" name="業務代表" dataDxfId="1" dataCellStyle="一般 2"/>
    <tableColumn id="10" xr3:uid="{40C72CAE-6F9E-4DE9-9C4B-9BA95A0A9480}" name="銷貨單別-單號" dataDxfId="0" dataCellStyle="一般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"/>
  <sheetViews>
    <sheetView showGridLines="0" zoomScale="70" zoomScaleNormal="70" workbookViewId="0"/>
  </sheetViews>
  <sheetFormatPr defaultColWidth="9" defaultRowHeight="15.5"/>
  <cols>
    <col min="1" max="1" width="17.453125" style="7" customWidth="1"/>
    <col min="2" max="2" width="22.453125" style="7" bestFit="1" customWidth="1"/>
    <col min="3" max="3" width="12" style="7" customWidth="1"/>
    <col min="4" max="4" width="18.1796875" style="7" customWidth="1"/>
    <col min="5" max="5" width="16.6328125" style="7" bestFit="1" customWidth="1"/>
    <col min="6" max="6" width="17.08984375" style="7" bestFit="1" customWidth="1"/>
    <col min="7" max="7" width="19.54296875" style="7" customWidth="1"/>
    <col min="8" max="8" width="16.36328125" style="7" bestFit="1" customWidth="1"/>
    <col min="9" max="9" width="19.81640625" style="7" customWidth="1"/>
    <col min="10" max="10" width="26.1796875" style="7" customWidth="1"/>
    <col min="11" max="11" width="19.1796875" style="7" customWidth="1"/>
    <col min="12" max="12" width="16.1796875" style="7" bestFit="1" customWidth="1"/>
    <col min="13" max="15" width="9" style="7"/>
    <col min="16" max="16" width="23.08984375" style="7" customWidth="1"/>
    <col min="17" max="17" width="24.6328125" style="55" bestFit="1" customWidth="1"/>
    <col min="18" max="16384" width="9" style="7"/>
  </cols>
  <sheetData>
    <row r="1" spans="1:17" ht="23.5" customHeight="1">
      <c r="A1" s="6"/>
      <c r="B1" s="6"/>
      <c r="I1" s="138"/>
      <c r="J1" s="138"/>
      <c r="K1" s="139"/>
      <c r="L1" s="140"/>
      <c r="Q1" s="7"/>
    </row>
    <row r="2" spans="1:17" ht="37.5" customHeight="1">
      <c r="A2" s="6"/>
      <c r="B2" s="6"/>
      <c r="D2" s="300" t="s">
        <v>17</v>
      </c>
      <c r="E2" s="301"/>
      <c r="F2" s="301"/>
      <c r="G2" s="301"/>
      <c r="H2" s="301"/>
      <c r="I2" s="301"/>
      <c r="J2" s="154"/>
      <c r="K2" s="154"/>
      <c r="L2" s="154"/>
      <c r="M2" s="154"/>
      <c r="Q2" s="7"/>
    </row>
    <row r="3" spans="1:17" ht="39.65" customHeight="1">
      <c r="D3" s="302" t="s">
        <v>232</v>
      </c>
      <c r="E3" s="303"/>
      <c r="F3" s="303"/>
      <c r="G3" s="303"/>
      <c r="H3" s="303"/>
      <c r="I3" s="303"/>
      <c r="J3" s="136"/>
      <c r="K3" s="136"/>
      <c r="L3" s="136"/>
      <c r="M3" s="137"/>
      <c r="Q3" s="7"/>
    </row>
    <row r="4" spans="1:17" ht="8" customHeight="1">
      <c r="Q4" s="7"/>
    </row>
    <row r="5" spans="1:17" ht="21">
      <c r="A5" s="304">
        <v>46230</v>
      </c>
      <c r="B5" s="304"/>
      <c r="C5" s="304"/>
      <c r="D5" s="304"/>
      <c r="E5" s="304"/>
      <c r="F5" s="304"/>
      <c r="G5" s="304"/>
      <c r="H5" s="304"/>
      <c r="I5" s="304"/>
      <c r="J5" s="304"/>
      <c r="K5" s="304"/>
      <c r="Q5" s="7"/>
    </row>
    <row r="6" spans="1:17" ht="25.5" thickBot="1">
      <c r="A6" s="8" t="s">
        <v>86</v>
      </c>
      <c r="B6" s="8"/>
      <c r="Q6" s="7"/>
    </row>
    <row r="7" spans="1:17" ht="25.25" customHeight="1" thickTop="1" thickBot="1">
      <c r="A7" s="9" t="s">
        <v>0</v>
      </c>
      <c r="B7" s="307" t="s">
        <v>1</v>
      </c>
      <c r="C7" s="308"/>
      <c r="D7" s="309"/>
      <c r="E7" s="305" t="s">
        <v>87</v>
      </c>
      <c r="F7" s="306"/>
      <c r="G7" s="310" t="s">
        <v>2</v>
      </c>
      <c r="H7" s="310"/>
      <c r="I7" s="307" t="s">
        <v>3</v>
      </c>
      <c r="J7" s="308"/>
      <c r="K7" s="311"/>
      <c r="Q7" s="7"/>
    </row>
    <row r="8" spans="1:17" ht="25.25" customHeight="1" thickBot="1">
      <c r="A8" s="10" t="s">
        <v>4</v>
      </c>
      <c r="B8" s="262">
        <v>2774591</v>
      </c>
      <c r="C8" s="263"/>
      <c r="D8" s="264"/>
      <c r="E8" s="259">
        <v>1215798</v>
      </c>
      <c r="F8" s="259"/>
      <c r="G8" s="259">
        <v>1558793</v>
      </c>
      <c r="H8" s="259"/>
      <c r="I8" s="213">
        <v>0.56179999999999997</v>
      </c>
      <c r="J8" s="214"/>
      <c r="K8" s="215"/>
      <c r="Q8" s="7"/>
    </row>
    <row r="9" spans="1:17" ht="25.25" customHeight="1" thickBot="1">
      <c r="A9" s="10" t="s">
        <v>5</v>
      </c>
      <c r="B9" s="250">
        <v>1991905</v>
      </c>
      <c r="C9" s="251"/>
      <c r="D9" s="252"/>
      <c r="E9" s="258">
        <v>1494655</v>
      </c>
      <c r="F9" s="258"/>
      <c r="G9" s="250">
        <v>497250</v>
      </c>
      <c r="H9" s="252"/>
      <c r="I9" s="213">
        <v>0.24959999999999999</v>
      </c>
      <c r="J9" s="214"/>
      <c r="K9" s="215"/>
      <c r="Q9" s="7"/>
    </row>
    <row r="10" spans="1:17" ht="25.25" customHeight="1" thickBot="1">
      <c r="A10" s="10" t="s">
        <v>88</v>
      </c>
      <c r="B10" s="250"/>
      <c r="C10" s="251"/>
      <c r="D10" s="252"/>
      <c r="E10" s="258"/>
      <c r="F10" s="258"/>
      <c r="G10" s="258"/>
      <c r="H10" s="258"/>
      <c r="I10" s="213"/>
      <c r="J10" s="214"/>
      <c r="K10" s="215"/>
      <c r="Q10" s="7"/>
    </row>
    <row r="11" spans="1:17" ht="25.25" customHeight="1" thickBot="1">
      <c r="A11" s="11" t="s">
        <v>6</v>
      </c>
      <c r="B11" s="262">
        <v>4766496</v>
      </c>
      <c r="C11" s="263"/>
      <c r="D11" s="264"/>
      <c r="E11" s="259">
        <v>2710453</v>
      </c>
      <c r="F11" s="259"/>
      <c r="G11" s="259">
        <v>2056043</v>
      </c>
      <c r="H11" s="259"/>
      <c r="I11" s="213">
        <v>0.43140000000000001</v>
      </c>
      <c r="J11" s="214"/>
      <c r="K11" s="215"/>
      <c r="Q11" s="7"/>
    </row>
    <row r="12" spans="1:17" ht="22" thickTop="1">
      <c r="A12" s="268" t="s">
        <v>89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Q12" s="7"/>
    </row>
    <row r="13" spans="1:17" ht="20.25" customHeight="1">
      <c r="A13" s="12"/>
      <c r="B13" s="12"/>
      <c r="C13" s="138"/>
      <c r="D13" s="144"/>
      <c r="E13" s="144"/>
      <c r="F13" s="142"/>
      <c r="G13" s="143"/>
      <c r="H13" s="12"/>
      <c r="I13" s="12"/>
      <c r="J13" s="12"/>
      <c r="K13" s="12"/>
      <c r="Q13" s="7"/>
    </row>
    <row r="14" spans="1:17" ht="25.5" thickBot="1">
      <c r="A14" s="265" t="s">
        <v>7</v>
      </c>
      <c r="B14" s="265"/>
      <c r="C14" s="265"/>
      <c r="D14" s="17"/>
      <c r="G14" s="141"/>
      <c r="Q14" s="7"/>
    </row>
    <row r="15" spans="1:17" s="13" customFormat="1" ht="25.25" customHeight="1" thickTop="1" thickBot="1">
      <c r="A15" s="147" t="s">
        <v>8</v>
      </c>
      <c r="B15" s="267" t="s">
        <v>207</v>
      </c>
      <c r="C15" s="253"/>
      <c r="D15" s="159" t="s">
        <v>208</v>
      </c>
      <c r="E15" s="159" t="s">
        <v>209</v>
      </c>
      <c r="F15" s="159" t="s">
        <v>210</v>
      </c>
      <c r="G15" s="148" t="s">
        <v>61</v>
      </c>
      <c r="H15" s="148" t="s">
        <v>191</v>
      </c>
      <c r="I15" s="148" t="s">
        <v>192</v>
      </c>
      <c r="J15" s="149" t="s">
        <v>193</v>
      </c>
      <c r="K15" s="150" t="s">
        <v>190</v>
      </c>
      <c r="L15" s="150" t="s">
        <v>194</v>
      </c>
      <c r="M15" s="253" t="s">
        <v>90</v>
      </c>
      <c r="N15" s="254"/>
    </row>
    <row r="16" spans="1:17" ht="25.25" customHeight="1" thickBot="1">
      <c r="A16" s="14" t="s">
        <v>4</v>
      </c>
      <c r="B16" s="211">
        <v>965588</v>
      </c>
      <c r="C16" s="211"/>
      <c r="D16" s="151">
        <v>945900</v>
      </c>
      <c r="E16" s="151">
        <v>67560</v>
      </c>
      <c r="F16" s="145">
        <v>134230</v>
      </c>
      <c r="G16" s="146">
        <v>160680</v>
      </c>
      <c r="H16" s="145">
        <v>281323</v>
      </c>
      <c r="I16" s="145">
        <v>0</v>
      </c>
      <c r="J16" s="145">
        <v>20860</v>
      </c>
      <c r="K16" s="145">
        <v>198450</v>
      </c>
      <c r="L16" s="145"/>
      <c r="M16" s="211">
        <v>2774591</v>
      </c>
      <c r="N16" s="212"/>
      <c r="O16" s="135"/>
      <c r="Q16" s="7"/>
    </row>
    <row r="17" spans="1:17" ht="25.25" customHeight="1" thickBot="1">
      <c r="A17" s="14" t="s">
        <v>5</v>
      </c>
      <c r="B17" s="257"/>
      <c r="C17" s="257"/>
      <c r="D17" s="146">
        <v>1991905</v>
      </c>
      <c r="E17" s="145"/>
      <c r="F17" s="145"/>
      <c r="G17" s="145"/>
      <c r="H17" s="145"/>
      <c r="I17" s="145"/>
      <c r="J17" s="145"/>
      <c r="K17" s="145"/>
      <c r="L17" s="145"/>
      <c r="M17" s="211">
        <v>1991905</v>
      </c>
      <c r="N17" s="212"/>
      <c r="O17" s="135"/>
      <c r="Q17" s="7"/>
    </row>
    <row r="18" spans="1:17" ht="25.25" customHeight="1" thickBot="1">
      <c r="A18" s="14" t="s">
        <v>6</v>
      </c>
      <c r="B18" s="211">
        <v>965588</v>
      </c>
      <c r="C18" s="211"/>
      <c r="D18" s="151">
        <v>2937805</v>
      </c>
      <c r="E18" s="151">
        <v>67560</v>
      </c>
      <c r="F18" s="145">
        <v>134230</v>
      </c>
      <c r="G18" s="146">
        <v>160680</v>
      </c>
      <c r="H18" s="145">
        <v>281323</v>
      </c>
      <c r="I18" s="145">
        <v>0</v>
      </c>
      <c r="J18" s="145">
        <v>20860</v>
      </c>
      <c r="K18" s="145">
        <v>198450</v>
      </c>
      <c r="L18" s="145">
        <v>0</v>
      </c>
      <c r="M18" s="211">
        <v>4766496</v>
      </c>
      <c r="N18" s="212"/>
      <c r="O18" s="135"/>
      <c r="Q18" s="7"/>
    </row>
    <row r="19" spans="1:17" s="13" customFormat="1" ht="25.25" customHeight="1" thickBot="1">
      <c r="A19" s="152" t="s">
        <v>9</v>
      </c>
      <c r="B19" s="249">
        <v>0.2026</v>
      </c>
      <c r="C19" s="249"/>
      <c r="D19" s="153">
        <v>0.61629999999999996</v>
      </c>
      <c r="E19" s="153">
        <v>1.4200000000000001E-2</v>
      </c>
      <c r="F19" s="153">
        <v>2.8199999999999999E-2</v>
      </c>
      <c r="G19" s="153">
        <v>3.3700000000000001E-2</v>
      </c>
      <c r="H19" s="153">
        <v>5.8999999999999997E-2</v>
      </c>
      <c r="I19" s="153">
        <v>0</v>
      </c>
      <c r="J19" s="153">
        <v>4.4000000000000003E-3</v>
      </c>
      <c r="K19" s="153">
        <v>4.1599999999999998E-2</v>
      </c>
      <c r="L19" s="153">
        <v>0</v>
      </c>
      <c r="M19" s="255">
        <v>1</v>
      </c>
      <c r="N19" s="256"/>
    </row>
    <row r="20" spans="1:17" ht="21.5" thickTop="1">
      <c r="A20" s="270"/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Q20" s="7"/>
    </row>
    <row r="21" spans="1:17" ht="20.25" customHeight="1">
      <c r="A21" s="15"/>
      <c r="B21" s="15"/>
      <c r="Q21" s="7"/>
    </row>
    <row r="22" spans="1:17" ht="25.5" thickBot="1">
      <c r="A22" s="16" t="s">
        <v>91</v>
      </c>
      <c r="B22" s="17"/>
      <c r="Q22" s="7"/>
    </row>
    <row r="23" spans="1:17" ht="26" customHeight="1" thickTop="1" thickBot="1">
      <c r="A23" s="18" t="s">
        <v>10</v>
      </c>
      <c r="B23" s="260" t="s">
        <v>11</v>
      </c>
      <c r="C23" s="261"/>
      <c r="D23" s="19" t="s">
        <v>12</v>
      </c>
      <c r="E23" s="19" t="s">
        <v>13</v>
      </c>
      <c r="F23" s="266" t="s">
        <v>14</v>
      </c>
      <c r="G23" s="266"/>
      <c r="H23" s="123" t="s">
        <v>92</v>
      </c>
      <c r="I23" s="20" t="s">
        <v>93</v>
      </c>
      <c r="J23" s="247" t="s">
        <v>94</v>
      </c>
      <c r="K23" s="248"/>
      <c r="L23" s="21"/>
      <c r="P23" s="209" t="s">
        <v>42</v>
      </c>
      <c r="Q23" s="210"/>
    </row>
    <row r="24" spans="1:17" ht="26" customHeight="1">
      <c r="A24" s="22" t="s">
        <v>95</v>
      </c>
      <c r="B24" s="228" t="s">
        <v>39</v>
      </c>
      <c r="C24" s="216"/>
      <c r="D24" s="216" t="s">
        <v>96</v>
      </c>
      <c r="E24" s="218">
        <v>1</v>
      </c>
      <c r="F24" s="220">
        <v>950000</v>
      </c>
      <c r="G24" s="221"/>
      <c r="H24" s="239">
        <v>44392</v>
      </c>
      <c r="I24" s="241" t="s">
        <v>40</v>
      </c>
      <c r="J24" s="243"/>
      <c r="K24" s="244"/>
      <c r="L24" s="21"/>
      <c r="P24" s="1" t="s">
        <v>41</v>
      </c>
      <c r="Q24" s="2" t="s">
        <v>30</v>
      </c>
    </row>
    <row r="25" spans="1:17" ht="26" customHeight="1" thickBot="1">
      <c r="A25" s="23" t="s">
        <v>97</v>
      </c>
      <c r="B25" s="229"/>
      <c r="C25" s="217"/>
      <c r="D25" s="217"/>
      <c r="E25" s="219"/>
      <c r="F25" s="222"/>
      <c r="G25" s="223"/>
      <c r="H25" s="240"/>
      <c r="I25" s="242"/>
      <c r="J25" s="245"/>
      <c r="K25" s="246"/>
      <c r="L25" s="21"/>
      <c r="P25" s="3" t="s">
        <v>43</v>
      </c>
      <c r="Q25" s="2">
        <v>0.05</v>
      </c>
    </row>
    <row r="26" spans="1:17" ht="26" customHeight="1">
      <c r="A26" s="22" t="s">
        <v>98</v>
      </c>
      <c r="B26" s="228" t="s">
        <v>39</v>
      </c>
      <c r="C26" s="216"/>
      <c r="D26" s="216" t="s">
        <v>99</v>
      </c>
      <c r="E26" s="218">
        <v>1</v>
      </c>
      <c r="F26" s="220">
        <v>3150000</v>
      </c>
      <c r="G26" s="221"/>
      <c r="H26" s="239">
        <v>44423</v>
      </c>
      <c r="I26" s="241" t="s">
        <v>158</v>
      </c>
      <c r="J26" s="243"/>
      <c r="K26" s="244"/>
      <c r="L26" s="21"/>
      <c r="P26" s="4" t="s">
        <v>44</v>
      </c>
      <c r="Q26" s="5">
        <v>0.1</v>
      </c>
    </row>
    <row r="27" spans="1:17" ht="26" customHeight="1" thickBot="1">
      <c r="A27" s="23" t="s">
        <v>100</v>
      </c>
      <c r="B27" s="229"/>
      <c r="C27" s="217"/>
      <c r="D27" s="217"/>
      <c r="E27" s="219"/>
      <c r="F27" s="222"/>
      <c r="G27" s="223"/>
      <c r="H27" s="240"/>
      <c r="I27" s="242"/>
      <c r="J27" s="245"/>
      <c r="K27" s="246"/>
      <c r="L27" s="21"/>
      <c r="P27" s="4" t="s">
        <v>45</v>
      </c>
      <c r="Q27" s="5">
        <v>0.2</v>
      </c>
    </row>
    <row r="28" spans="1:17" ht="26" customHeight="1">
      <c r="A28" s="24" t="s">
        <v>101</v>
      </c>
      <c r="B28" s="228" t="s">
        <v>39</v>
      </c>
      <c r="C28" s="216"/>
      <c r="D28" s="216" t="s">
        <v>102</v>
      </c>
      <c r="E28" s="218">
        <v>2</v>
      </c>
      <c r="F28" s="220">
        <v>500000</v>
      </c>
      <c r="G28" s="221"/>
      <c r="H28" s="239">
        <v>44392</v>
      </c>
      <c r="I28" s="241" t="s">
        <v>103</v>
      </c>
      <c r="J28" s="243"/>
      <c r="K28" s="244"/>
      <c r="L28" s="21"/>
      <c r="P28" s="4" t="s">
        <v>46</v>
      </c>
      <c r="Q28" s="5">
        <v>0.4</v>
      </c>
    </row>
    <row r="29" spans="1:17" ht="26" customHeight="1" thickBot="1">
      <c r="A29" s="23" t="s">
        <v>104</v>
      </c>
      <c r="B29" s="229"/>
      <c r="C29" s="217"/>
      <c r="D29" s="217"/>
      <c r="E29" s="219"/>
      <c r="F29" s="222"/>
      <c r="G29" s="223"/>
      <c r="H29" s="240"/>
      <c r="I29" s="242"/>
      <c r="J29" s="245"/>
      <c r="K29" s="246"/>
      <c r="L29" s="21"/>
      <c r="P29" s="4" t="s">
        <v>47</v>
      </c>
      <c r="Q29" s="5">
        <v>0.6</v>
      </c>
    </row>
    <row r="30" spans="1:17" ht="26" customHeight="1">
      <c r="A30" s="24" t="s">
        <v>105</v>
      </c>
      <c r="B30" s="228" t="s">
        <v>39</v>
      </c>
      <c r="C30" s="216"/>
      <c r="D30" s="216" t="s">
        <v>106</v>
      </c>
      <c r="E30" s="218">
        <v>1</v>
      </c>
      <c r="F30" s="220">
        <v>310000</v>
      </c>
      <c r="G30" s="221"/>
      <c r="H30" s="239">
        <v>44423</v>
      </c>
      <c r="I30" s="241" t="s">
        <v>103</v>
      </c>
      <c r="J30" s="243"/>
      <c r="K30" s="244"/>
      <c r="L30" s="21"/>
      <c r="P30" s="4" t="s">
        <v>48</v>
      </c>
      <c r="Q30" s="5">
        <v>0.8</v>
      </c>
    </row>
    <row r="31" spans="1:17" ht="26" customHeight="1" thickBot="1">
      <c r="A31" s="23" t="s">
        <v>107</v>
      </c>
      <c r="B31" s="229"/>
      <c r="C31" s="217"/>
      <c r="D31" s="217"/>
      <c r="E31" s="219"/>
      <c r="F31" s="222"/>
      <c r="G31" s="223"/>
      <c r="H31" s="240"/>
      <c r="I31" s="242"/>
      <c r="J31" s="245"/>
      <c r="K31" s="246"/>
      <c r="L31" s="21"/>
      <c r="P31" s="4" t="s">
        <v>49</v>
      </c>
      <c r="Q31" s="5">
        <v>1</v>
      </c>
    </row>
    <row r="32" spans="1:17" ht="26" customHeight="1">
      <c r="A32" s="25" t="s">
        <v>108</v>
      </c>
      <c r="B32" s="226" t="s">
        <v>109</v>
      </c>
      <c r="C32" s="226"/>
      <c r="D32" s="226" t="s">
        <v>110</v>
      </c>
      <c r="E32" s="285">
        <v>7</v>
      </c>
      <c r="F32" s="220">
        <v>2041669</v>
      </c>
      <c r="G32" s="221"/>
      <c r="H32" s="239">
        <v>44371</v>
      </c>
      <c r="I32" s="288" t="s">
        <v>111</v>
      </c>
      <c r="J32" s="290"/>
      <c r="K32" s="291"/>
      <c r="L32" s="21"/>
      <c r="P32" s="4"/>
      <c r="Q32" s="5"/>
    </row>
    <row r="33" spans="1:17" ht="26" customHeight="1" thickBot="1">
      <c r="A33" s="124" t="s">
        <v>112</v>
      </c>
      <c r="B33" s="238"/>
      <c r="C33" s="238"/>
      <c r="D33" s="238"/>
      <c r="E33" s="238"/>
      <c r="F33" s="286"/>
      <c r="G33" s="287"/>
      <c r="H33" s="240"/>
      <c r="I33" s="289"/>
      <c r="J33" s="292"/>
      <c r="K33" s="293"/>
      <c r="L33" s="21"/>
      <c r="P33" s="4"/>
      <c r="Q33" s="5"/>
    </row>
    <row r="34" spans="1:17" ht="26" customHeight="1">
      <c r="A34" s="25" t="s">
        <v>36</v>
      </c>
      <c r="B34" s="226"/>
      <c r="C34" s="226"/>
      <c r="D34" s="226"/>
      <c r="E34" s="226"/>
      <c r="F34" s="234"/>
      <c r="G34" s="235"/>
      <c r="H34" s="230"/>
      <c r="I34" s="232"/>
      <c r="J34" s="290"/>
      <c r="K34" s="297"/>
      <c r="L34" s="21"/>
      <c r="P34" s="4" t="s">
        <v>50</v>
      </c>
      <c r="Q34" s="5">
        <v>0</v>
      </c>
    </row>
    <row r="35" spans="1:17" ht="26" customHeight="1" thickBot="1">
      <c r="A35" s="26"/>
      <c r="B35" s="227"/>
      <c r="C35" s="227"/>
      <c r="D35" s="227"/>
      <c r="E35" s="227"/>
      <c r="F35" s="236"/>
      <c r="G35" s="237"/>
      <c r="H35" s="231"/>
      <c r="I35" s="233"/>
      <c r="J35" s="298"/>
      <c r="K35" s="299"/>
      <c r="P35" s="4" t="s">
        <v>59</v>
      </c>
      <c r="Q35" s="5">
        <v>0</v>
      </c>
    </row>
    <row r="36" spans="1:17" ht="18.75" customHeight="1" thickTop="1">
      <c r="A36" s="21"/>
      <c r="F36" s="224"/>
      <c r="G36" s="225"/>
      <c r="P36" s="4" t="s">
        <v>60</v>
      </c>
      <c r="Q36" s="5">
        <v>0</v>
      </c>
    </row>
    <row r="37" spans="1:17" ht="21">
      <c r="A37" s="27"/>
      <c r="B37" s="28"/>
      <c r="F37" s="29"/>
      <c r="Q37" s="7"/>
    </row>
    <row r="38" spans="1:17" ht="25.5" thickBot="1">
      <c r="A38" s="122" t="s">
        <v>84</v>
      </c>
      <c r="B38" s="17"/>
      <c r="D38" s="30"/>
      <c r="Q38" s="7"/>
    </row>
    <row r="39" spans="1:17" ht="37.5" customHeight="1" thickTop="1">
      <c r="A39" s="79" t="s">
        <v>15</v>
      </c>
      <c r="B39" s="105" t="s">
        <v>78</v>
      </c>
      <c r="C39" s="80" t="s">
        <v>16</v>
      </c>
      <c r="D39" s="105" t="s">
        <v>66</v>
      </c>
      <c r="E39" s="105" t="s">
        <v>67</v>
      </c>
      <c r="F39" s="105" t="s">
        <v>68</v>
      </c>
      <c r="G39" s="105" t="s">
        <v>69</v>
      </c>
      <c r="H39" s="105" t="s">
        <v>70</v>
      </c>
      <c r="I39" s="105" t="s">
        <v>71</v>
      </c>
      <c r="J39" s="105" t="s">
        <v>72</v>
      </c>
      <c r="K39" s="105" t="s">
        <v>73</v>
      </c>
      <c r="L39" s="105" t="s">
        <v>79</v>
      </c>
      <c r="M39" s="106" t="s">
        <v>74</v>
      </c>
    </row>
    <row r="40" spans="1:17" s="32" customFormat="1" ht="25" customHeight="1">
      <c r="A40" s="115" t="s">
        <v>169</v>
      </c>
      <c r="B40" s="76" t="s">
        <v>80</v>
      </c>
      <c r="C40" s="76" t="s">
        <v>85</v>
      </c>
      <c r="D40" s="76" t="s">
        <v>37</v>
      </c>
      <c r="E40" s="76" t="s">
        <v>38</v>
      </c>
      <c r="F40" s="76">
        <v>1</v>
      </c>
      <c r="G40" s="103">
        <v>950000</v>
      </c>
      <c r="H40" s="93">
        <v>44347</v>
      </c>
      <c r="I40" s="108">
        <f t="shared" ref="I40:I49" si="0">IF(J40=$P$25,$Q$25,IF(J40=$P$26,$Q$26,IF(J40=$P$27,$Q$27,IF(J40=$P$28,$Q$28,IF(J40=$P$29,$Q$29,IF(J40=$P$30,$Q$30,IF(J40=$P$31,$Q$31,IF(J40=$P$34,$Q$34,IF(J40=$P$35,$Q$35,IF(J40=$P$36,$Q$36,""))))))))))</f>
        <v>1</v>
      </c>
      <c r="J40" s="112" t="s">
        <v>76</v>
      </c>
      <c r="K40" s="75" t="s">
        <v>149</v>
      </c>
      <c r="L40" s="75"/>
      <c r="M40" s="82">
        <v>1</v>
      </c>
      <c r="N40" s="31"/>
    </row>
    <row r="41" spans="1:17" s="32" customFormat="1" ht="25" customHeight="1">
      <c r="A41" s="125" t="s">
        <v>132</v>
      </c>
      <c r="B41" s="74"/>
      <c r="C41" s="74" t="s">
        <v>64</v>
      </c>
      <c r="D41" s="74" t="s">
        <v>113</v>
      </c>
      <c r="E41" s="130" t="s">
        <v>114</v>
      </c>
      <c r="F41" s="74">
        <v>1</v>
      </c>
      <c r="G41" s="73">
        <v>643500</v>
      </c>
      <c r="H41" s="92">
        <v>44347</v>
      </c>
      <c r="I41" s="107">
        <f t="shared" si="0"/>
        <v>0</v>
      </c>
      <c r="J41" s="111" t="s">
        <v>163</v>
      </c>
      <c r="K41" s="72" t="s">
        <v>162</v>
      </c>
      <c r="L41" s="72"/>
      <c r="M41" s="81">
        <v>2</v>
      </c>
      <c r="N41" s="31"/>
    </row>
    <row r="42" spans="1:17" s="32" customFormat="1" ht="25" customHeight="1">
      <c r="A42" s="125" t="s">
        <v>131</v>
      </c>
      <c r="B42" s="74" t="s">
        <v>115</v>
      </c>
      <c r="C42" s="74" t="s">
        <v>116</v>
      </c>
      <c r="D42" s="74" t="s">
        <v>117</v>
      </c>
      <c r="E42" s="126" t="s">
        <v>118</v>
      </c>
      <c r="F42" s="74">
        <v>1</v>
      </c>
      <c r="G42" s="73">
        <v>358000</v>
      </c>
      <c r="H42" s="92">
        <v>44347</v>
      </c>
      <c r="I42" s="107">
        <f t="shared" si="0"/>
        <v>0.8</v>
      </c>
      <c r="J42" s="111" t="s">
        <v>75</v>
      </c>
      <c r="K42" s="72" t="s">
        <v>130</v>
      </c>
      <c r="L42" s="72"/>
      <c r="M42" s="81">
        <v>3</v>
      </c>
      <c r="N42" s="31"/>
    </row>
    <row r="43" spans="1:17" s="32" customFormat="1" ht="25" customHeight="1">
      <c r="A43" s="115" t="s">
        <v>150</v>
      </c>
      <c r="B43" s="76" t="s">
        <v>154</v>
      </c>
      <c r="C43" s="76" t="s">
        <v>64</v>
      </c>
      <c r="D43" s="132" t="s">
        <v>62</v>
      </c>
      <c r="E43" s="133" t="s">
        <v>63</v>
      </c>
      <c r="F43" s="134">
        <v>1</v>
      </c>
      <c r="G43" s="103">
        <v>3150000</v>
      </c>
      <c r="H43" s="93">
        <v>44347</v>
      </c>
      <c r="I43" s="108">
        <f t="shared" si="0"/>
        <v>1</v>
      </c>
      <c r="J43" s="112" t="s">
        <v>76</v>
      </c>
      <c r="K43" s="75" t="s">
        <v>147</v>
      </c>
      <c r="L43" s="75"/>
      <c r="M43" s="82">
        <v>4</v>
      </c>
      <c r="N43" s="31"/>
    </row>
    <row r="44" spans="1:17" s="32" customFormat="1" ht="25" customHeight="1">
      <c r="A44" s="116" t="s">
        <v>133</v>
      </c>
      <c r="B44" s="78" t="s">
        <v>119</v>
      </c>
      <c r="C44" s="78" t="s">
        <v>116</v>
      </c>
      <c r="D44" s="78"/>
      <c r="E44" s="131" t="s">
        <v>120</v>
      </c>
      <c r="F44" s="78">
        <v>1</v>
      </c>
      <c r="G44" s="73">
        <v>730000</v>
      </c>
      <c r="H44" s="92">
        <v>44377</v>
      </c>
      <c r="I44" s="107">
        <f t="shared" si="0"/>
        <v>0.8</v>
      </c>
      <c r="J44" s="114" t="s">
        <v>75</v>
      </c>
      <c r="K44" s="72" t="s">
        <v>134</v>
      </c>
      <c r="L44" s="72"/>
      <c r="M44" s="81">
        <v>5</v>
      </c>
      <c r="N44" s="31"/>
    </row>
    <row r="45" spans="1:17" s="32" customFormat="1" ht="25" customHeight="1">
      <c r="A45" s="116" t="s">
        <v>145</v>
      </c>
      <c r="B45" s="78" t="s">
        <v>56</v>
      </c>
      <c r="C45" s="78" t="s">
        <v>64</v>
      </c>
      <c r="D45" s="78" t="s">
        <v>65</v>
      </c>
      <c r="E45" s="78" t="s">
        <v>135</v>
      </c>
      <c r="F45" s="78">
        <v>2</v>
      </c>
      <c r="G45" s="73">
        <v>1778400</v>
      </c>
      <c r="H45" s="92">
        <v>44423</v>
      </c>
      <c r="I45" s="107">
        <f t="shared" si="0"/>
        <v>0.6</v>
      </c>
      <c r="J45" s="111" t="s">
        <v>77</v>
      </c>
      <c r="K45" s="77" t="s">
        <v>136</v>
      </c>
      <c r="L45" s="77"/>
      <c r="M45" s="83">
        <v>6</v>
      </c>
      <c r="N45" s="31"/>
    </row>
    <row r="46" spans="1:17" s="32" customFormat="1" ht="25" customHeight="1">
      <c r="A46" s="116" t="s">
        <v>137</v>
      </c>
      <c r="B46" s="110" t="s">
        <v>121</v>
      </c>
      <c r="C46" s="78" t="s">
        <v>64</v>
      </c>
      <c r="D46" s="78" t="s">
        <v>122</v>
      </c>
      <c r="E46" s="104" t="s">
        <v>123</v>
      </c>
      <c r="F46" s="78">
        <v>1</v>
      </c>
      <c r="G46" s="73">
        <v>2380000</v>
      </c>
      <c r="H46" s="92">
        <v>44377</v>
      </c>
      <c r="I46" s="107">
        <f t="shared" si="0"/>
        <v>0.2</v>
      </c>
      <c r="J46" s="111" t="s">
        <v>138</v>
      </c>
      <c r="K46" s="77" t="s">
        <v>139</v>
      </c>
      <c r="L46" s="77"/>
      <c r="M46" s="83">
        <v>7</v>
      </c>
      <c r="N46" s="31"/>
    </row>
    <row r="47" spans="1:17" s="32" customFormat="1" ht="25" customHeight="1">
      <c r="A47" s="116" t="s">
        <v>140</v>
      </c>
      <c r="B47" s="78" t="s">
        <v>124</v>
      </c>
      <c r="C47" s="78" t="s">
        <v>116</v>
      </c>
      <c r="D47" s="88"/>
      <c r="E47" s="113" t="s">
        <v>125</v>
      </c>
      <c r="F47" s="89">
        <v>3</v>
      </c>
      <c r="G47" s="73">
        <v>1590000</v>
      </c>
      <c r="H47" s="92">
        <v>44377</v>
      </c>
      <c r="I47" s="107">
        <f t="shared" si="0"/>
        <v>0.05</v>
      </c>
      <c r="J47" s="111" t="s">
        <v>141</v>
      </c>
      <c r="K47" s="77" t="s">
        <v>142</v>
      </c>
      <c r="L47" s="77"/>
      <c r="M47" s="83">
        <v>8</v>
      </c>
      <c r="N47" s="31"/>
    </row>
    <row r="48" spans="1:17" s="32" customFormat="1" ht="25" customHeight="1">
      <c r="A48" s="116" t="s">
        <v>143</v>
      </c>
      <c r="B48" s="110" t="s">
        <v>126</v>
      </c>
      <c r="C48" s="78" t="s">
        <v>127</v>
      </c>
      <c r="D48" s="88" t="s">
        <v>128</v>
      </c>
      <c r="E48" s="91" t="s">
        <v>129</v>
      </c>
      <c r="F48" s="78">
        <v>1</v>
      </c>
      <c r="G48" s="73">
        <v>149600</v>
      </c>
      <c r="H48" s="92">
        <v>44347</v>
      </c>
      <c r="I48" s="107">
        <f t="shared" si="0"/>
        <v>0.2</v>
      </c>
      <c r="J48" s="111" t="s">
        <v>138</v>
      </c>
      <c r="K48" s="77" t="s">
        <v>144</v>
      </c>
      <c r="L48" s="77"/>
      <c r="M48" s="83">
        <v>9</v>
      </c>
      <c r="N48" s="31"/>
    </row>
    <row r="49" spans="1:18" s="32" customFormat="1" ht="25" customHeight="1">
      <c r="A49" s="117" t="s">
        <v>173</v>
      </c>
      <c r="B49" s="104"/>
      <c r="C49" s="90" t="s">
        <v>172</v>
      </c>
      <c r="D49" s="118" t="s">
        <v>171</v>
      </c>
      <c r="E49" s="78" t="s">
        <v>152</v>
      </c>
      <c r="F49" s="90">
        <v>1</v>
      </c>
      <c r="G49" s="119">
        <v>988000</v>
      </c>
      <c r="H49" s="92">
        <v>44348</v>
      </c>
      <c r="I49" s="107">
        <f t="shared" si="0"/>
        <v>0.2</v>
      </c>
      <c r="J49" s="120" t="s">
        <v>52</v>
      </c>
      <c r="K49" s="121" t="s">
        <v>164</v>
      </c>
      <c r="L49" s="121"/>
      <c r="M49" s="83">
        <v>10</v>
      </c>
      <c r="N49" s="31"/>
    </row>
    <row r="50" spans="1:18" s="32" customFormat="1" ht="25" customHeight="1">
      <c r="A50" s="117" t="s">
        <v>183</v>
      </c>
      <c r="B50" s="104"/>
      <c r="C50" s="90" t="s">
        <v>151</v>
      </c>
      <c r="D50" s="118" t="s">
        <v>170</v>
      </c>
      <c r="E50" s="78" t="s">
        <v>152</v>
      </c>
      <c r="F50" s="90">
        <v>1</v>
      </c>
      <c r="G50" s="119">
        <v>637500</v>
      </c>
      <c r="H50" s="92">
        <v>44348</v>
      </c>
      <c r="I50" s="107">
        <f t="shared" ref="I50:I52" si="1">IF(J50=$P$25,$Q$25,IF(J50=$P$26,$Q$26,IF(J50=$P$27,$Q$27,IF(J50=$P$28,$Q$28,IF(J50=$P$29,$Q$29,IF(J50=$P$30,$Q$30,IF(J50=$P$31,$Q$31,IF(J50=$P$34,$Q$34,IF(J50=$P$35,$Q$35,IF(J50=$P$36,$Q$36,""))))))))))</f>
        <v>0.6</v>
      </c>
      <c r="J50" s="127" t="s">
        <v>77</v>
      </c>
      <c r="K50" s="121" t="s">
        <v>164</v>
      </c>
      <c r="L50" s="121"/>
      <c r="M50" s="83">
        <v>11</v>
      </c>
      <c r="N50" s="31"/>
    </row>
    <row r="51" spans="1:18" s="32" customFormat="1" ht="25" customHeight="1">
      <c r="A51" s="117" t="s">
        <v>153</v>
      </c>
      <c r="B51" s="104" t="s">
        <v>155</v>
      </c>
      <c r="C51" s="90" t="s">
        <v>156</v>
      </c>
      <c r="D51" s="118" t="s">
        <v>157</v>
      </c>
      <c r="E51" s="78" t="s">
        <v>165</v>
      </c>
      <c r="F51" s="90">
        <v>1</v>
      </c>
      <c r="G51" s="119">
        <v>1880000</v>
      </c>
      <c r="H51" s="92">
        <v>44349</v>
      </c>
      <c r="I51" s="107">
        <f t="shared" si="1"/>
        <v>0.6</v>
      </c>
      <c r="J51" s="127" t="s">
        <v>167</v>
      </c>
      <c r="K51" s="121" t="s">
        <v>166</v>
      </c>
      <c r="L51" s="121"/>
      <c r="M51" s="83">
        <v>12</v>
      </c>
      <c r="N51" s="31"/>
    </row>
    <row r="52" spans="1:18" s="32" customFormat="1" ht="25" customHeight="1">
      <c r="A52" s="117" t="s">
        <v>184</v>
      </c>
      <c r="B52" s="104" t="s">
        <v>160</v>
      </c>
      <c r="C52" s="90" t="s">
        <v>161</v>
      </c>
      <c r="D52" s="118" t="s">
        <v>159</v>
      </c>
      <c r="E52" s="78" t="s">
        <v>168</v>
      </c>
      <c r="F52" s="90">
        <v>1</v>
      </c>
      <c r="G52" s="119">
        <v>939000</v>
      </c>
      <c r="H52" s="92">
        <v>44350</v>
      </c>
      <c r="I52" s="107">
        <f t="shared" si="1"/>
        <v>0.6</v>
      </c>
      <c r="J52" s="127" t="s">
        <v>77</v>
      </c>
      <c r="K52" s="121" t="s">
        <v>164</v>
      </c>
      <c r="L52" s="121"/>
      <c r="M52" s="83">
        <v>13</v>
      </c>
      <c r="N52" s="31"/>
    </row>
    <row r="53" spans="1:18" s="32" customFormat="1" ht="25" customHeight="1" thickBot="1">
      <c r="A53" s="128" t="s">
        <v>174</v>
      </c>
      <c r="B53" s="87"/>
      <c r="C53" s="87"/>
      <c r="D53" s="87"/>
      <c r="E53" s="87"/>
      <c r="F53" s="87"/>
      <c r="G53" s="85"/>
      <c r="H53" s="92"/>
      <c r="I53" s="109" t="str">
        <f>IF(J53=$P$25,$Q$25,IF(J53=$P$26,$Q$26,IF(J53=$P$27,$Q$27,IF(J53=$P$28,$Q$28,IF(J53=$P$29,$Q$29,IF(J53=$P$30,$Q$30,IF(J53=$P$31,$Q$31,IF(J53=$P$34,$Q$34,IF(J53=$P$35,$Q$35,IF(J53=$P$36,$Q$36,""))))))))))</f>
        <v/>
      </c>
      <c r="J53" s="129"/>
      <c r="K53" s="84"/>
      <c r="L53" s="84"/>
      <c r="M53" s="86"/>
      <c r="N53" s="31"/>
    </row>
    <row r="54" spans="1:18" s="32" customFormat="1" ht="91.25" customHeight="1" thickTop="1" thickBot="1">
      <c r="A54" s="294" t="s">
        <v>35</v>
      </c>
      <c r="B54" s="295"/>
      <c r="C54" s="295"/>
      <c r="D54" s="295"/>
      <c r="E54" s="295"/>
      <c r="F54" s="295"/>
      <c r="G54" s="295"/>
      <c r="H54" s="295"/>
      <c r="I54" s="295"/>
      <c r="J54" s="295"/>
      <c r="K54" s="295"/>
      <c r="L54" s="295"/>
      <c r="M54" s="296"/>
      <c r="N54" s="31"/>
    </row>
    <row r="55" spans="1:18" s="32" customFormat="1" ht="25" customHeight="1" thickTop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6"/>
      <c r="N55" s="31"/>
      <c r="P55" s="33"/>
      <c r="Q55" s="33"/>
    </row>
    <row r="56" spans="1:18" s="32" customFormat="1" ht="25" customHeight="1" thickBot="1">
      <c r="A56" s="37" t="s">
        <v>20</v>
      </c>
      <c r="B56" s="17"/>
      <c r="C56" s="7"/>
      <c r="D56" s="7"/>
      <c r="E56" s="7"/>
      <c r="F56" s="7"/>
      <c r="G56" s="7"/>
      <c r="H56" s="7"/>
      <c r="I56" s="7"/>
      <c r="J56" s="35"/>
      <c r="K56" s="35"/>
      <c r="L56" s="35"/>
      <c r="M56" s="31"/>
      <c r="N56" s="31"/>
      <c r="P56" s="33"/>
      <c r="Q56" s="33"/>
    </row>
    <row r="57" spans="1:18" s="32" customFormat="1" ht="25" customHeight="1" thickTop="1">
      <c r="A57" s="38" t="s">
        <v>24</v>
      </c>
      <c r="B57" s="275" t="s">
        <v>25</v>
      </c>
      <c r="C57" s="275"/>
      <c r="D57" s="39" t="s">
        <v>26</v>
      </c>
      <c r="E57" s="39" t="s">
        <v>27</v>
      </c>
      <c r="F57" s="39" t="s">
        <v>21</v>
      </c>
      <c r="G57" s="39" t="s">
        <v>28</v>
      </c>
      <c r="H57" s="39" t="s">
        <v>18</v>
      </c>
      <c r="I57" s="39" t="s">
        <v>19</v>
      </c>
      <c r="J57" s="40" t="s">
        <v>29</v>
      </c>
      <c r="K57" s="39" t="s">
        <v>30</v>
      </c>
      <c r="L57" s="41" t="s">
        <v>22</v>
      </c>
      <c r="M57" s="31"/>
      <c r="N57" s="31"/>
      <c r="P57" s="33"/>
      <c r="Q57" s="33"/>
    </row>
    <row r="58" spans="1:18" s="32" customFormat="1" ht="25" customHeight="1">
      <c r="A58" s="42"/>
      <c r="B58" s="276"/>
      <c r="C58" s="277"/>
      <c r="D58" s="43"/>
      <c r="E58" s="44"/>
      <c r="F58" s="45"/>
      <c r="G58" s="45"/>
      <c r="H58" s="43"/>
      <c r="I58" s="46"/>
      <c r="J58" s="46"/>
      <c r="K58" s="47"/>
      <c r="L58" s="48"/>
      <c r="M58" s="31"/>
      <c r="N58" s="31"/>
      <c r="P58" s="33"/>
      <c r="Q58" s="33"/>
    </row>
    <row r="59" spans="1:18" s="32" customFormat="1" ht="25" customHeight="1">
      <c r="A59" s="49"/>
      <c r="B59" s="278"/>
      <c r="C59" s="279"/>
      <c r="D59" s="50"/>
      <c r="E59" s="50"/>
      <c r="F59" s="51"/>
      <c r="G59" s="52"/>
      <c r="H59" s="52"/>
      <c r="I59" s="50"/>
      <c r="J59" s="53"/>
      <c r="K59" s="50"/>
      <c r="L59" s="54"/>
      <c r="M59" s="31"/>
      <c r="N59" s="31"/>
      <c r="P59" s="96"/>
      <c r="Q59" s="97"/>
    </row>
    <row r="60" spans="1:18" s="32" customFormat="1" ht="25" customHeight="1">
      <c r="A60" s="49"/>
      <c r="B60" s="278"/>
      <c r="C60" s="279"/>
      <c r="D60" s="50"/>
      <c r="E60" s="50"/>
      <c r="F60" s="51"/>
      <c r="G60" s="52"/>
      <c r="H60" s="52"/>
      <c r="I60" s="50"/>
      <c r="J60" s="53"/>
      <c r="K60" s="50"/>
      <c r="L60" s="54"/>
      <c r="M60" s="7"/>
      <c r="N60" s="31"/>
      <c r="P60" s="96"/>
      <c r="Q60" s="97"/>
    </row>
    <row r="61" spans="1:18" s="32" customFormat="1" ht="25" customHeight="1" thickBot="1">
      <c r="A61" s="56"/>
      <c r="B61" s="280"/>
      <c r="C61" s="281"/>
      <c r="D61" s="57"/>
      <c r="E61" s="57"/>
      <c r="F61" s="58"/>
      <c r="G61" s="59"/>
      <c r="H61" s="59"/>
      <c r="I61" s="57"/>
      <c r="J61" s="60"/>
      <c r="K61" s="57"/>
      <c r="L61" s="61"/>
      <c r="M61" s="7"/>
      <c r="N61" s="31"/>
      <c r="P61" s="96"/>
      <c r="Q61" s="97"/>
    </row>
    <row r="62" spans="1:18" s="32" customFormat="1" ht="25" customHeight="1" thickTop="1">
      <c r="A62" s="62"/>
      <c r="B62" s="63"/>
      <c r="C62" s="63"/>
      <c r="D62" s="64"/>
      <c r="E62" s="64"/>
      <c r="F62" s="65"/>
      <c r="G62" s="66"/>
      <c r="H62" s="66"/>
      <c r="I62" s="64"/>
      <c r="J62" s="67"/>
      <c r="K62" s="64"/>
      <c r="L62" s="68"/>
      <c r="M62" s="7"/>
      <c r="N62" s="31"/>
      <c r="P62" s="96"/>
      <c r="Q62" s="97"/>
    </row>
    <row r="63" spans="1:18" s="34" customFormat="1" ht="25.5" customHeight="1" thickBot="1">
      <c r="A63" s="37" t="s">
        <v>23</v>
      </c>
      <c r="B63" s="17"/>
      <c r="C63" s="7"/>
      <c r="D63" s="7"/>
      <c r="E63" s="64"/>
      <c r="F63" s="65"/>
      <c r="G63" s="66"/>
      <c r="H63" s="66"/>
      <c r="I63" s="64"/>
      <c r="J63" s="67"/>
      <c r="K63" s="64"/>
      <c r="L63" s="68"/>
      <c r="M63" s="7"/>
      <c r="P63" s="98"/>
      <c r="Q63" s="97"/>
    </row>
    <row r="64" spans="1:18" s="32" customFormat="1" ht="24" customHeight="1" thickTop="1">
      <c r="A64" s="38" t="s">
        <v>24</v>
      </c>
      <c r="B64" s="275" t="s">
        <v>25</v>
      </c>
      <c r="C64" s="275"/>
      <c r="D64" s="39" t="s">
        <v>26</v>
      </c>
      <c r="E64" s="39" t="s">
        <v>27</v>
      </c>
      <c r="F64" s="39" t="s">
        <v>21</v>
      </c>
      <c r="G64" s="39" t="s">
        <v>28</v>
      </c>
      <c r="H64" s="39" t="s">
        <v>18</v>
      </c>
      <c r="I64" s="39" t="s">
        <v>19</v>
      </c>
      <c r="J64" s="40" t="s">
        <v>29</v>
      </c>
      <c r="K64" s="39" t="s">
        <v>30</v>
      </c>
      <c r="L64" s="41" t="s">
        <v>22</v>
      </c>
      <c r="M64" s="7"/>
      <c r="P64" s="96"/>
      <c r="Q64" s="97"/>
      <c r="R64" s="33"/>
    </row>
    <row r="65" spans="1:18" s="32" customFormat="1" ht="24" customHeight="1">
      <c r="A65" s="69"/>
      <c r="B65" s="276"/>
      <c r="C65" s="277"/>
      <c r="D65" s="43"/>
      <c r="E65" s="44"/>
      <c r="F65" s="45"/>
      <c r="G65" s="45"/>
      <c r="H65" s="43"/>
      <c r="I65" s="46"/>
      <c r="J65" s="70"/>
      <c r="K65" s="47"/>
      <c r="L65" s="48"/>
      <c r="M65" s="7"/>
      <c r="P65" s="96"/>
      <c r="Q65" s="97"/>
      <c r="R65" s="33"/>
    </row>
    <row r="66" spans="1:18" s="32" customFormat="1" ht="24" customHeight="1">
      <c r="A66" s="49"/>
      <c r="B66" s="278"/>
      <c r="C66" s="279"/>
      <c r="D66" s="50"/>
      <c r="E66" s="50"/>
      <c r="F66" s="51"/>
      <c r="G66" s="52"/>
      <c r="H66" s="52"/>
      <c r="I66" s="50"/>
      <c r="J66" s="53"/>
      <c r="K66" s="50"/>
      <c r="L66" s="54"/>
      <c r="M66" s="7"/>
      <c r="P66" s="96"/>
      <c r="Q66" s="97"/>
      <c r="R66" s="33"/>
    </row>
    <row r="67" spans="1:18" s="32" customFormat="1" ht="24" customHeight="1">
      <c r="A67" s="49"/>
      <c r="B67" s="278"/>
      <c r="C67" s="279"/>
      <c r="D67" s="50"/>
      <c r="E67" s="50"/>
      <c r="F67" s="51"/>
      <c r="G67" s="52"/>
      <c r="H67" s="52"/>
      <c r="I67" s="50"/>
      <c r="J67" s="53"/>
      <c r="K67" s="50"/>
      <c r="L67" s="54"/>
      <c r="M67" s="7"/>
      <c r="P67" s="96"/>
      <c r="Q67" s="97"/>
      <c r="R67" s="33"/>
    </row>
    <row r="68" spans="1:18" s="32" customFormat="1" ht="24" customHeight="1" thickBot="1">
      <c r="A68" s="56"/>
      <c r="B68" s="280"/>
      <c r="C68" s="281"/>
      <c r="D68" s="57"/>
      <c r="E68" s="57"/>
      <c r="F68" s="58"/>
      <c r="G68" s="59"/>
      <c r="H68" s="59"/>
      <c r="I68" s="57"/>
      <c r="J68" s="60"/>
      <c r="K68" s="57"/>
      <c r="L68" s="61"/>
      <c r="M68" s="7"/>
      <c r="P68" s="96"/>
      <c r="Q68" s="97"/>
      <c r="R68" s="33"/>
    </row>
    <row r="69" spans="1:18" ht="24" customHeight="1" thickTop="1">
      <c r="A69" s="62"/>
      <c r="B69" s="63"/>
      <c r="C69" s="63"/>
      <c r="D69" s="64"/>
      <c r="E69" s="64"/>
      <c r="F69" s="65"/>
      <c r="G69" s="66"/>
      <c r="H69" s="66"/>
      <c r="I69" s="64"/>
      <c r="J69" s="67"/>
      <c r="K69" s="64"/>
      <c r="L69" s="68"/>
      <c r="Q69" s="99"/>
    </row>
    <row r="70" spans="1:18" ht="24.5" customHeight="1">
      <c r="A70" s="284" t="s">
        <v>177</v>
      </c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Q70" s="99"/>
    </row>
    <row r="71" spans="1:18" ht="24.5" customHeight="1">
      <c r="A71" s="284" t="s">
        <v>175</v>
      </c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Q71" s="99"/>
    </row>
    <row r="72" spans="1:18" ht="24.5" customHeight="1">
      <c r="A72" s="284" t="s">
        <v>176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</row>
    <row r="73" spans="1:18" ht="24.5" customHeight="1">
      <c r="A73" s="284" t="s">
        <v>189</v>
      </c>
      <c r="B73" s="284"/>
      <c r="C73" s="284"/>
      <c r="D73" s="284"/>
      <c r="E73" s="284"/>
      <c r="F73" s="284"/>
      <c r="G73" s="284"/>
      <c r="H73" s="284"/>
      <c r="I73" s="284"/>
      <c r="J73" s="284"/>
      <c r="K73" s="284"/>
    </row>
    <row r="74" spans="1:18" ht="24.5" customHeight="1">
      <c r="A74" s="284" t="s">
        <v>178</v>
      </c>
      <c r="B74" s="284"/>
      <c r="C74" s="284"/>
      <c r="D74" s="284"/>
      <c r="E74" s="284"/>
      <c r="F74" s="284"/>
      <c r="G74" s="284"/>
      <c r="H74" s="284"/>
      <c r="I74" s="284"/>
      <c r="J74" s="284"/>
      <c r="K74" s="284"/>
    </row>
    <row r="75" spans="1:18" ht="24.5" customHeight="1">
      <c r="A75" s="284" t="s">
        <v>179</v>
      </c>
      <c r="B75" s="284"/>
      <c r="C75" s="284"/>
      <c r="D75" s="284"/>
      <c r="E75" s="284"/>
      <c r="F75" s="284"/>
      <c r="G75" s="284"/>
      <c r="H75" s="284"/>
      <c r="I75" s="284"/>
      <c r="J75" s="284"/>
      <c r="K75" s="284"/>
    </row>
    <row r="76" spans="1:18" ht="24.5" customHeight="1">
      <c r="A76" s="284" t="s">
        <v>180</v>
      </c>
      <c r="B76" s="284"/>
      <c r="C76" s="284"/>
      <c r="D76" s="284"/>
      <c r="E76" s="284"/>
      <c r="F76" s="284"/>
      <c r="G76" s="284"/>
      <c r="H76" s="284"/>
      <c r="I76" s="284"/>
      <c r="J76" s="284"/>
      <c r="K76" s="284"/>
    </row>
    <row r="77" spans="1:18" ht="24.5" customHeight="1">
      <c r="A77" s="284" t="s">
        <v>181</v>
      </c>
      <c r="B77" s="284"/>
      <c r="C77" s="284"/>
      <c r="D77" s="284"/>
      <c r="E77" s="284"/>
      <c r="F77" s="284"/>
      <c r="G77" s="284"/>
      <c r="H77" s="284"/>
      <c r="I77" s="284"/>
      <c r="J77" s="284"/>
      <c r="K77" s="284"/>
    </row>
    <row r="78" spans="1:18" ht="24.5" customHeight="1">
      <c r="A78" s="284" t="s">
        <v>182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</row>
    <row r="79" spans="1:18" ht="24.5" customHeight="1">
      <c r="A79" s="284" t="s">
        <v>185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</row>
    <row r="80" spans="1:18" ht="24.5" customHeight="1">
      <c r="A80" s="284" t="s">
        <v>186</v>
      </c>
      <c r="B80" s="284"/>
      <c r="C80" s="284"/>
      <c r="D80" s="284"/>
      <c r="E80" s="284"/>
      <c r="F80" s="284"/>
      <c r="G80" s="284"/>
      <c r="H80" s="284"/>
      <c r="I80" s="284"/>
      <c r="J80" s="284"/>
      <c r="K80" s="284"/>
    </row>
    <row r="81" spans="1:11" ht="24.5" customHeight="1">
      <c r="A81" s="284" t="s">
        <v>187</v>
      </c>
      <c r="B81" s="284"/>
      <c r="C81" s="284"/>
      <c r="D81" s="284"/>
      <c r="E81" s="284"/>
      <c r="F81" s="284"/>
      <c r="G81" s="284"/>
      <c r="H81" s="284"/>
      <c r="I81" s="284"/>
      <c r="J81" s="284"/>
      <c r="K81" s="284"/>
    </row>
    <row r="82" spans="1:11" ht="24.5" customHeight="1">
      <c r="A82" s="284" t="s">
        <v>188</v>
      </c>
      <c r="B82" s="284"/>
      <c r="C82" s="284"/>
      <c r="D82" s="284"/>
      <c r="E82" s="284"/>
      <c r="F82" s="284"/>
      <c r="G82" s="284"/>
      <c r="H82" s="284"/>
      <c r="I82" s="284"/>
      <c r="J82" s="284"/>
      <c r="K82" s="284"/>
    </row>
    <row r="83" spans="1:11" ht="51.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spans="1:11" ht="25">
      <c r="A84" s="8" t="s">
        <v>31</v>
      </c>
      <c r="B84" s="8"/>
      <c r="C84" s="12"/>
      <c r="D84" s="12"/>
      <c r="E84" s="12"/>
      <c r="F84" s="12"/>
      <c r="G84" s="12"/>
      <c r="H84" s="12"/>
      <c r="I84" s="12"/>
      <c r="J84" s="12"/>
      <c r="K84" s="12"/>
    </row>
    <row r="85" spans="1:11" ht="51.5" customHeight="1">
      <c r="A85" s="282"/>
      <c r="B85" s="282"/>
      <c r="C85" s="282"/>
      <c r="D85" s="282"/>
      <c r="E85" s="282"/>
      <c r="F85" s="282"/>
      <c r="G85" s="282"/>
      <c r="H85" s="282"/>
      <c r="I85" s="282"/>
      <c r="J85" s="282"/>
      <c r="K85" s="282"/>
    </row>
    <row r="86" spans="1:11" ht="25">
      <c r="A86" s="8" t="s">
        <v>32</v>
      </c>
      <c r="B86" s="12"/>
      <c r="C86" s="12"/>
      <c r="D86" s="12"/>
      <c r="E86" s="12"/>
      <c r="F86" s="12"/>
      <c r="G86" s="12"/>
      <c r="H86" s="12"/>
      <c r="I86" s="12"/>
      <c r="J86" s="12"/>
    </row>
    <row r="87" spans="1:11" ht="51.5" customHeight="1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</row>
    <row r="88" spans="1:11" ht="25">
      <c r="A88" s="8" t="s">
        <v>33</v>
      </c>
    </row>
    <row r="89" spans="1:11" ht="51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</row>
    <row r="90" spans="1:11" ht="25">
      <c r="A90" s="8" t="s">
        <v>34</v>
      </c>
      <c r="B90" s="8"/>
    </row>
    <row r="91" spans="1:11" ht="51.5" customHeight="1">
      <c r="A91" s="283"/>
      <c r="B91" s="272"/>
      <c r="C91" s="272"/>
      <c r="D91" s="272"/>
      <c r="E91" s="272"/>
      <c r="F91" s="272"/>
      <c r="G91" s="272"/>
      <c r="H91" s="272"/>
      <c r="I91" s="272"/>
      <c r="J91" s="272"/>
      <c r="K91" s="272"/>
    </row>
    <row r="92" spans="1:11" ht="21.5">
      <c r="A92" s="271"/>
      <c r="B92" s="272"/>
      <c r="C92" s="272"/>
      <c r="D92" s="272"/>
      <c r="E92" s="272"/>
      <c r="F92" s="272"/>
      <c r="G92" s="272"/>
      <c r="H92" s="272"/>
      <c r="I92" s="272"/>
      <c r="J92" s="272"/>
      <c r="K92" s="272"/>
    </row>
  </sheetData>
  <sheetProtection selectLockedCells="1"/>
  <mergeCells count="118">
    <mergeCell ref="H26:H27"/>
    <mergeCell ref="I26:I27"/>
    <mergeCell ref="J26:K27"/>
    <mergeCell ref="H30:H31"/>
    <mergeCell ref="I30:I31"/>
    <mergeCell ref="J30:K31"/>
    <mergeCell ref="H28:H29"/>
    <mergeCell ref="I28:I29"/>
    <mergeCell ref="J28:K29"/>
    <mergeCell ref="B24:B25"/>
    <mergeCell ref="C24:C25"/>
    <mergeCell ref="F28:G29"/>
    <mergeCell ref="C30:C31"/>
    <mergeCell ref="D30:D31"/>
    <mergeCell ref="E30:E31"/>
    <mergeCell ref="F30:G31"/>
    <mergeCell ref="E34:E35"/>
    <mergeCell ref="D34:D35"/>
    <mergeCell ref="C32:C33"/>
    <mergeCell ref="D32:D33"/>
    <mergeCell ref="D24:D25"/>
    <mergeCell ref="E24:E25"/>
    <mergeCell ref="F24:G25"/>
    <mergeCell ref="D2:I2"/>
    <mergeCell ref="D3:I3"/>
    <mergeCell ref="A5:K5"/>
    <mergeCell ref="E7:F7"/>
    <mergeCell ref="E9:F9"/>
    <mergeCell ref="G8:H8"/>
    <mergeCell ref="B7:D7"/>
    <mergeCell ref="B9:D9"/>
    <mergeCell ref="G7:H7"/>
    <mergeCell ref="G9:H9"/>
    <mergeCell ref="B8:D8"/>
    <mergeCell ref="I7:K7"/>
    <mergeCell ref="I8:K8"/>
    <mergeCell ref="E8:F8"/>
    <mergeCell ref="I9:K9"/>
    <mergeCell ref="A77:K77"/>
    <mergeCell ref="A78:K78"/>
    <mergeCell ref="A80:K80"/>
    <mergeCell ref="E32:E33"/>
    <mergeCell ref="F32:G33"/>
    <mergeCell ref="H32:H33"/>
    <mergeCell ref="I32:I33"/>
    <mergeCell ref="J32:K33"/>
    <mergeCell ref="A75:K75"/>
    <mergeCell ref="A54:M54"/>
    <mergeCell ref="J34:K35"/>
    <mergeCell ref="A92:K92"/>
    <mergeCell ref="A89:K89"/>
    <mergeCell ref="A87:K87"/>
    <mergeCell ref="B57:C57"/>
    <mergeCell ref="B65:C65"/>
    <mergeCell ref="B66:C66"/>
    <mergeCell ref="B59:C59"/>
    <mergeCell ref="B60:C60"/>
    <mergeCell ref="B64:C64"/>
    <mergeCell ref="B61:C61"/>
    <mergeCell ref="B58:C58"/>
    <mergeCell ref="A85:K85"/>
    <mergeCell ref="B67:C67"/>
    <mergeCell ref="A91:K91"/>
    <mergeCell ref="B68:C68"/>
    <mergeCell ref="A70:K70"/>
    <mergeCell ref="A73:K73"/>
    <mergeCell ref="A74:K74"/>
    <mergeCell ref="A81:K81"/>
    <mergeCell ref="A82:K82"/>
    <mergeCell ref="A79:K79"/>
    <mergeCell ref="A71:K71"/>
    <mergeCell ref="A72:K72"/>
    <mergeCell ref="A76:K76"/>
    <mergeCell ref="M18:N18"/>
    <mergeCell ref="J23:K23"/>
    <mergeCell ref="M17:N17"/>
    <mergeCell ref="B19:C19"/>
    <mergeCell ref="B10:D10"/>
    <mergeCell ref="I10:K10"/>
    <mergeCell ref="M15:N15"/>
    <mergeCell ref="M19:N19"/>
    <mergeCell ref="B17:C17"/>
    <mergeCell ref="G10:H10"/>
    <mergeCell ref="E10:F10"/>
    <mergeCell ref="G11:H11"/>
    <mergeCell ref="B23:C23"/>
    <mergeCell ref="B16:C16"/>
    <mergeCell ref="B11:D11"/>
    <mergeCell ref="A14:C14"/>
    <mergeCell ref="F23:G23"/>
    <mergeCell ref="B15:C15"/>
    <mergeCell ref="E11:F11"/>
    <mergeCell ref="A12:K12"/>
    <mergeCell ref="A20:K20"/>
    <mergeCell ref="P23:Q23"/>
    <mergeCell ref="M16:N16"/>
    <mergeCell ref="I11:K11"/>
    <mergeCell ref="B18:C18"/>
    <mergeCell ref="D26:D27"/>
    <mergeCell ref="E26:E27"/>
    <mergeCell ref="F26:G27"/>
    <mergeCell ref="F36:G36"/>
    <mergeCell ref="C34:C35"/>
    <mergeCell ref="B34:B35"/>
    <mergeCell ref="B26:B27"/>
    <mergeCell ref="C26:C27"/>
    <mergeCell ref="B28:B29"/>
    <mergeCell ref="C28:C29"/>
    <mergeCell ref="D28:D29"/>
    <mergeCell ref="E28:E29"/>
    <mergeCell ref="B30:B31"/>
    <mergeCell ref="H34:H35"/>
    <mergeCell ref="I34:I35"/>
    <mergeCell ref="F34:G35"/>
    <mergeCell ref="B32:B33"/>
    <mergeCell ref="H24:H25"/>
    <mergeCell ref="I24:I25"/>
    <mergeCell ref="J24:K25"/>
  </mergeCells>
  <phoneticPr fontId="22" type="noConversion"/>
  <dataValidations disablePrompts="1" count="2">
    <dataValidation type="list" allowBlank="1" showInputMessage="1" showErrorMessage="1" sqref="Q59:Q68" xr:uid="{00000000-0002-0000-0000-000000000000}">
      <formula1>$P$25:$P$34</formula1>
    </dataValidation>
    <dataValidation type="list" allowBlank="1" showInputMessage="1" showErrorMessage="1" sqref="J40:J53" xr:uid="{00000000-0002-0000-0000-000001000000}">
      <formula1>$P$25:$P$36</formula1>
    </dataValidation>
  </dataValidations>
  <pageMargins left="0.15" right="0.14000000000000001" top="0.19" bottom="0.5" header="0.17" footer="0.5"/>
  <pageSetup paperSize="9" scale="68" orientation="portrait" horizontalDpi="4294967294" verticalDpi="300" r:id="rId1"/>
  <headerFooter alignWithMargins="0"/>
  <rowBreaks count="1" manualBreakCount="1">
    <brk id="3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5959-5C39-4BC5-9454-475B204E1CC1}">
  <dimension ref="A1:L77"/>
  <sheetViews>
    <sheetView showGridLines="0" zoomScale="85" zoomScaleNormal="85" workbookViewId="0">
      <selection activeCell="K67" sqref="K67"/>
    </sheetView>
  </sheetViews>
  <sheetFormatPr defaultRowHeight="14"/>
  <cols>
    <col min="1" max="1" width="14.453125" style="164" customWidth="1"/>
    <col min="2" max="2" width="12.36328125" style="164" bestFit="1" customWidth="1"/>
    <col min="3" max="3" width="16.36328125" style="164" customWidth="1"/>
    <col min="4" max="5" width="13.6328125" style="190" bestFit="1" customWidth="1"/>
    <col min="6" max="6" width="12.7265625" style="190" customWidth="1"/>
    <col min="7" max="7" width="10.7265625" style="164" customWidth="1"/>
    <col min="8" max="8" width="10" style="164" bestFit="1" customWidth="1"/>
    <col min="9" max="9" width="9.26953125" style="191" customWidth="1"/>
    <col min="10" max="10" width="13.453125" style="191" customWidth="1"/>
    <col min="11" max="11" width="8.7265625" style="164"/>
    <col min="12" max="12" width="17.54296875" style="164" bestFit="1" customWidth="1"/>
    <col min="13" max="13" width="6.81640625" style="164" bestFit="1" customWidth="1"/>
    <col min="14" max="14" width="17.54296875" style="164" bestFit="1" customWidth="1"/>
    <col min="15" max="16384" width="8.7265625" style="164"/>
  </cols>
  <sheetData>
    <row r="1" spans="1:10" ht="15">
      <c r="A1" s="161" t="s">
        <v>233</v>
      </c>
      <c r="B1" s="155"/>
      <c r="C1" s="155"/>
      <c r="D1" s="162"/>
      <c r="E1" s="162"/>
      <c r="F1" s="162" t="s">
        <v>234</v>
      </c>
      <c r="G1" s="155"/>
      <c r="H1" s="155"/>
      <c r="I1" s="163"/>
      <c r="J1" s="163"/>
    </row>
    <row r="2" spans="1:10" ht="14.5">
      <c r="A2" s="155"/>
      <c r="B2" s="155"/>
      <c r="C2" s="155"/>
      <c r="D2" s="162"/>
      <c r="E2" s="162"/>
      <c r="F2" s="162" t="s">
        <v>235</v>
      </c>
      <c r="G2" s="155"/>
      <c r="H2" s="155"/>
      <c r="I2" s="163"/>
      <c r="J2" s="163"/>
    </row>
    <row r="3" spans="1:10" ht="14.5">
      <c r="A3" s="165" t="s">
        <v>236</v>
      </c>
      <c r="B3" s="155"/>
      <c r="C3" s="155"/>
      <c r="D3" s="162"/>
      <c r="E3" s="162"/>
      <c r="F3" s="162"/>
      <c r="G3" s="155"/>
      <c r="H3" s="155"/>
      <c r="I3" s="163"/>
      <c r="J3" s="166"/>
    </row>
    <row r="4" spans="1:10" ht="15" thickBot="1">
      <c r="A4" s="165" t="s">
        <v>237</v>
      </c>
      <c r="B4" s="155"/>
      <c r="C4" s="155"/>
      <c r="D4" s="162"/>
      <c r="E4" s="162"/>
      <c r="F4" s="162" t="s">
        <v>238</v>
      </c>
      <c r="G4" s="155"/>
      <c r="H4" s="155"/>
      <c r="I4" s="163"/>
      <c r="J4" s="166" t="s">
        <v>239</v>
      </c>
    </row>
    <row r="5" spans="1:10" ht="15.5" thickTop="1" thickBot="1">
      <c r="A5" s="167" t="s">
        <v>240</v>
      </c>
      <c r="B5" s="167" t="s">
        <v>241</v>
      </c>
      <c r="C5" s="167" t="s">
        <v>242</v>
      </c>
      <c r="D5" s="168" t="s">
        <v>243</v>
      </c>
      <c r="E5" s="168" t="s">
        <v>244</v>
      </c>
      <c r="F5" s="168" t="s">
        <v>245</v>
      </c>
      <c r="G5" s="169" t="s">
        <v>246</v>
      </c>
      <c r="H5" s="167" t="s">
        <v>247</v>
      </c>
      <c r="I5" s="170" t="s">
        <v>248</v>
      </c>
      <c r="J5" s="170" t="s">
        <v>249</v>
      </c>
    </row>
    <row r="6" spans="1:10" ht="15" thickTop="1">
      <c r="A6" s="171" t="s">
        <v>250</v>
      </c>
      <c r="B6" s="171" t="s">
        <v>251</v>
      </c>
      <c r="C6" s="171" t="s">
        <v>252</v>
      </c>
      <c r="D6" s="172">
        <v>1130000</v>
      </c>
      <c r="E6" s="172">
        <v>697634</v>
      </c>
      <c r="F6" s="172">
        <f t="shared" ref="F6:F10" si="0">D6-E6</f>
        <v>432366</v>
      </c>
      <c r="G6" s="173">
        <f t="shared" ref="G6:G10" si="1">F6/D6</f>
        <v>0.38262477876106193</v>
      </c>
      <c r="H6" s="171" t="s">
        <v>200</v>
      </c>
      <c r="I6" s="174" t="s">
        <v>253</v>
      </c>
      <c r="J6" s="174" t="s">
        <v>254</v>
      </c>
    </row>
    <row r="7" spans="1:10" ht="14.5">
      <c r="A7" s="171" t="s">
        <v>255</v>
      </c>
      <c r="B7" s="160" t="s">
        <v>256</v>
      </c>
      <c r="C7" s="171" t="s">
        <v>257</v>
      </c>
      <c r="D7" s="172">
        <v>861905</v>
      </c>
      <c r="E7" s="172">
        <v>723257</v>
      </c>
      <c r="F7" s="175">
        <f t="shared" si="0"/>
        <v>138648</v>
      </c>
      <c r="G7" s="176">
        <f t="shared" si="1"/>
        <v>0.16086227600489614</v>
      </c>
      <c r="H7" s="171" t="s">
        <v>258</v>
      </c>
      <c r="I7" s="174" t="s">
        <v>253</v>
      </c>
      <c r="J7" s="174" t="s">
        <v>259</v>
      </c>
    </row>
    <row r="8" spans="1:10" ht="14.5">
      <c r="A8" s="177"/>
      <c r="B8" s="177" t="s">
        <v>260</v>
      </c>
      <c r="C8" s="177" t="s">
        <v>261</v>
      </c>
      <c r="D8" s="178">
        <f>SUM(D6:D7)</f>
        <v>1991905</v>
      </c>
      <c r="E8" s="178">
        <f>SUM(E6:E7)</f>
        <v>1420891</v>
      </c>
      <c r="F8" s="172">
        <f t="shared" si="0"/>
        <v>571014</v>
      </c>
      <c r="G8" s="173">
        <f t="shared" si="1"/>
        <v>0.28666728583943513</v>
      </c>
      <c r="H8" s="179"/>
      <c r="I8" s="180"/>
      <c r="J8" s="180"/>
    </row>
    <row r="9" spans="1:10" ht="14.5">
      <c r="A9" s="171"/>
      <c r="B9" s="171"/>
      <c r="C9" s="171" t="s">
        <v>262</v>
      </c>
      <c r="D9" s="172"/>
      <c r="E9" s="172">
        <f>[1]物料!E38</f>
        <v>73764</v>
      </c>
      <c r="F9" s="172"/>
      <c r="G9" s="173"/>
      <c r="H9" s="171"/>
      <c r="I9" s="174"/>
      <c r="J9" s="174"/>
    </row>
    <row r="10" spans="1:10" ht="14.5">
      <c r="A10" s="171"/>
      <c r="B10" s="171" t="s">
        <v>263</v>
      </c>
      <c r="C10" s="171"/>
      <c r="D10" s="172">
        <f>SUM(D8:D9)</f>
        <v>1991905</v>
      </c>
      <c r="E10" s="172">
        <f>SUM(E8:E9)</f>
        <v>1494655</v>
      </c>
      <c r="F10" s="175">
        <f t="shared" si="0"/>
        <v>497250</v>
      </c>
      <c r="G10" s="176">
        <f t="shared" si="1"/>
        <v>0.24963539927858006</v>
      </c>
      <c r="H10" s="171"/>
      <c r="I10" s="174"/>
      <c r="J10" s="174"/>
    </row>
    <row r="11" spans="1:10" ht="14.5">
      <c r="A11" s="181" t="s">
        <v>264</v>
      </c>
      <c r="B11" s="182"/>
      <c r="C11" s="182"/>
      <c r="D11" s="183"/>
      <c r="E11" s="183"/>
      <c r="F11" s="172"/>
      <c r="G11" s="173"/>
      <c r="H11" s="182"/>
      <c r="I11" s="184"/>
      <c r="J11" s="185"/>
    </row>
    <row r="12" spans="1:10" ht="14.5">
      <c r="A12" s="165" t="s">
        <v>237</v>
      </c>
      <c r="B12" s="155"/>
      <c r="C12" s="155"/>
      <c r="D12" s="162"/>
      <c r="E12" s="162"/>
      <c r="F12" s="172"/>
      <c r="G12" s="173"/>
      <c r="H12" s="155"/>
      <c r="I12" s="163"/>
      <c r="J12" s="166" t="s">
        <v>239</v>
      </c>
    </row>
    <row r="13" spans="1:10" ht="15" thickBot="1">
      <c r="A13" s="312" t="s">
        <v>240</v>
      </c>
      <c r="B13" s="312" t="s">
        <v>241</v>
      </c>
      <c r="C13" s="312" t="s">
        <v>242</v>
      </c>
      <c r="D13" s="313" t="s">
        <v>243</v>
      </c>
      <c r="E13" s="313" t="s">
        <v>244</v>
      </c>
      <c r="F13" s="313" t="s">
        <v>245</v>
      </c>
      <c r="G13" s="314" t="s">
        <v>246</v>
      </c>
      <c r="H13" s="312" t="s">
        <v>247</v>
      </c>
      <c r="I13" s="315" t="s">
        <v>248</v>
      </c>
      <c r="J13" s="315" t="s">
        <v>249</v>
      </c>
    </row>
    <row r="14" spans="1:10" ht="15" thickTop="1">
      <c r="A14" s="171" t="s">
        <v>265</v>
      </c>
      <c r="B14" s="171" t="s">
        <v>266</v>
      </c>
      <c r="C14" s="171" t="s">
        <v>267</v>
      </c>
      <c r="D14" s="172">
        <v>102800</v>
      </c>
      <c r="E14" s="172">
        <v>39069</v>
      </c>
      <c r="F14" s="172">
        <f t="shared" ref="F14:F45" si="2">D14-E14</f>
        <v>63731</v>
      </c>
      <c r="G14" s="173">
        <f t="shared" ref="G14:G45" si="3">F14/D14</f>
        <v>0.61995136186770428</v>
      </c>
      <c r="H14" s="171" t="s">
        <v>201</v>
      </c>
      <c r="I14" s="174" t="s">
        <v>268</v>
      </c>
      <c r="J14" s="174" t="s">
        <v>269</v>
      </c>
    </row>
    <row r="15" spans="1:10" ht="14.5">
      <c r="A15" s="171" t="s">
        <v>265</v>
      </c>
      <c r="B15" s="171" t="s">
        <v>270</v>
      </c>
      <c r="C15" s="171" t="s">
        <v>271</v>
      </c>
      <c r="D15" s="172">
        <v>198700</v>
      </c>
      <c r="E15" s="172">
        <v>113857</v>
      </c>
      <c r="F15" s="172">
        <f t="shared" si="2"/>
        <v>84843</v>
      </c>
      <c r="G15" s="173">
        <f t="shared" si="3"/>
        <v>0.42699043784599899</v>
      </c>
      <c r="H15" s="171" t="s">
        <v>201</v>
      </c>
      <c r="I15" s="174" t="s">
        <v>268</v>
      </c>
      <c r="J15" s="174" t="s">
        <v>272</v>
      </c>
    </row>
    <row r="16" spans="1:10" ht="14.5">
      <c r="A16" s="171" t="s">
        <v>265</v>
      </c>
      <c r="B16" s="171" t="s">
        <v>273</v>
      </c>
      <c r="C16" s="171" t="s">
        <v>274</v>
      </c>
      <c r="D16" s="172">
        <v>121600</v>
      </c>
      <c r="E16" s="172">
        <v>77964</v>
      </c>
      <c r="F16" s="172">
        <f t="shared" si="2"/>
        <v>43636</v>
      </c>
      <c r="G16" s="173">
        <f t="shared" si="3"/>
        <v>0.35884868421052629</v>
      </c>
      <c r="H16" s="171" t="s">
        <v>198</v>
      </c>
      <c r="I16" s="174" t="s">
        <v>275</v>
      </c>
      <c r="J16" s="174" t="s">
        <v>276</v>
      </c>
    </row>
    <row r="17" spans="1:12" ht="14.5">
      <c r="A17" s="171" t="s">
        <v>277</v>
      </c>
      <c r="B17" s="171" t="s">
        <v>273</v>
      </c>
      <c r="C17" s="171" t="s">
        <v>278</v>
      </c>
      <c r="D17" s="172">
        <v>45240</v>
      </c>
      <c r="E17" s="172">
        <v>24766</v>
      </c>
      <c r="F17" s="172">
        <f t="shared" si="2"/>
        <v>20474</v>
      </c>
      <c r="G17" s="173">
        <f t="shared" si="3"/>
        <v>0.45256410256410257</v>
      </c>
      <c r="H17" s="171" t="s">
        <v>198</v>
      </c>
      <c r="I17" s="174" t="s">
        <v>268</v>
      </c>
      <c r="J17" s="174" t="s">
        <v>279</v>
      </c>
    </row>
    <row r="18" spans="1:12" ht="14.5">
      <c r="A18" s="171" t="s">
        <v>250</v>
      </c>
      <c r="B18" s="171" t="s">
        <v>280</v>
      </c>
      <c r="C18" s="171" t="s">
        <v>281</v>
      </c>
      <c r="D18" s="172">
        <v>17100</v>
      </c>
      <c r="E18" s="172">
        <v>5576</v>
      </c>
      <c r="F18" s="172">
        <f t="shared" si="2"/>
        <v>11524</v>
      </c>
      <c r="G18" s="173">
        <f t="shared" si="3"/>
        <v>0.6739181286549708</v>
      </c>
      <c r="H18" s="171" t="s">
        <v>201</v>
      </c>
      <c r="I18" s="174" t="s">
        <v>282</v>
      </c>
      <c r="J18" s="174" t="s">
        <v>283</v>
      </c>
    </row>
    <row r="19" spans="1:12" ht="14.5">
      <c r="A19" s="171" t="s">
        <v>284</v>
      </c>
      <c r="B19" s="186" t="s">
        <v>285</v>
      </c>
      <c r="C19" s="171" t="s">
        <v>286</v>
      </c>
      <c r="D19" s="172">
        <v>40100</v>
      </c>
      <c r="E19" s="172">
        <v>15126</v>
      </c>
      <c r="F19" s="172">
        <f t="shared" si="2"/>
        <v>24974</v>
      </c>
      <c r="G19" s="173">
        <f t="shared" si="3"/>
        <v>0.62279301745635907</v>
      </c>
      <c r="H19" s="171" t="s">
        <v>201</v>
      </c>
      <c r="I19" s="174" t="s">
        <v>253</v>
      </c>
      <c r="J19" s="174" t="s">
        <v>287</v>
      </c>
    </row>
    <row r="20" spans="1:12" ht="14.5">
      <c r="A20" s="171" t="s">
        <v>277</v>
      </c>
      <c r="B20" s="171" t="s">
        <v>280</v>
      </c>
      <c r="C20" s="171" t="s">
        <v>288</v>
      </c>
      <c r="D20" s="172">
        <v>48600</v>
      </c>
      <c r="E20" s="172">
        <v>22304</v>
      </c>
      <c r="F20" s="172">
        <f t="shared" si="2"/>
        <v>26296</v>
      </c>
      <c r="G20" s="173">
        <f t="shared" si="3"/>
        <v>0.54106995884773668</v>
      </c>
      <c r="H20" s="171" t="s">
        <v>201</v>
      </c>
      <c r="I20" s="174" t="s">
        <v>282</v>
      </c>
      <c r="J20" s="174" t="s">
        <v>289</v>
      </c>
    </row>
    <row r="21" spans="1:12" ht="14.5">
      <c r="A21" s="171" t="s">
        <v>290</v>
      </c>
      <c r="B21" s="171" t="s">
        <v>291</v>
      </c>
      <c r="C21" s="171" t="s">
        <v>292</v>
      </c>
      <c r="D21" s="172">
        <v>480000</v>
      </c>
      <c r="E21" s="172">
        <v>279291</v>
      </c>
      <c r="F21" s="172">
        <f t="shared" si="2"/>
        <v>200709</v>
      </c>
      <c r="G21" s="173">
        <f t="shared" si="3"/>
        <v>0.41814374999999998</v>
      </c>
      <c r="H21" s="171" t="s">
        <v>200</v>
      </c>
      <c r="I21" s="174" t="s">
        <v>253</v>
      </c>
      <c r="J21" s="174" t="s">
        <v>293</v>
      </c>
    </row>
    <row r="22" spans="1:12" ht="14.5">
      <c r="A22" s="171" t="s">
        <v>290</v>
      </c>
      <c r="B22" s="186" t="s">
        <v>294</v>
      </c>
      <c r="C22" s="171" t="s">
        <v>295</v>
      </c>
      <c r="D22" s="172">
        <v>12000</v>
      </c>
      <c r="E22" s="172">
        <v>210</v>
      </c>
      <c r="F22" s="172">
        <f t="shared" si="2"/>
        <v>11790</v>
      </c>
      <c r="G22" s="173">
        <f t="shared" si="3"/>
        <v>0.98250000000000004</v>
      </c>
      <c r="H22" s="171" t="s">
        <v>200</v>
      </c>
      <c r="I22" s="174" t="s">
        <v>253</v>
      </c>
      <c r="J22" s="174" t="s">
        <v>296</v>
      </c>
    </row>
    <row r="23" spans="1:12" ht="14.5">
      <c r="A23" s="171" t="s">
        <v>255</v>
      </c>
      <c r="B23" s="186" t="s">
        <v>297</v>
      </c>
      <c r="C23" s="171" t="s">
        <v>298</v>
      </c>
      <c r="D23" s="172">
        <v>28500</v>
      </c>
      <c r="E23" s="172">
        <v>1840</v>
      </c>
      <c r="F23" s="172">
        <f t="shared" si="2"/>
        <v>26660</v>
      </c>
      <c r="G23" s="173">
        <f t="shared" si="3"/>
        <v>0.93543859649122807</v>
      </c>
      <c r="H23" s="171" t="s">
        <v>197</v>
      </c>
      <c r="I23" s="174" t="s">
        <v>253</v>
      </c>
      <c r="J23" s="174" t="s">
        <v>299</v>
      </c>
    </row>
    <row r="24" spans="1:12" ht="14.5">
      <c r="A24" s="171" t="s">
        <v>265</v>
      </c>
      <c r="B24" s="171" t="s">
        <v>300</v>
      </c>
      <c r="C24" s="171" t="s">
        <v>301</v>
      </c>
      <c r="D24" s="172">
        <v>23904</v>
      </c>
      <c r="E24" s="172">
        <v>9328</v>
      </c>
      <c r="F24" s="172">
        <f t="shared" si="2"/>
        <v>14576</v>
      </c>
      <c r="G24" s="173">
        <f t="shared" si="3"/>
        <v>0.60977242302543511</v>
      </c>
      <c r="H24" s="171" t="s">
        <v>201</v>
      </c>
      <c r="I24" s="174" t="s">
        <v>268</v>
      </c>
      <c r="J24" s="174" t="s">
        <v>302</v>
      </c>
    </row>
    <row r="25" spans="1:12">
      <c r="A25" s="171" t="s">
        <v>265</v>
      </c>
      <c r="B25" s="171" t="str">
        <f>B24</f>
        <v>雙穩健-南</v>
      </c>
      <c r="C25" s="171" t="s">
        <v>303</v>
      </c>
      <c r="D25" s="172">
        <v>13294</v>
      </c>
      <c r="E25" s="172">
        <v>5682</v>
      </c>
      <c r="F25" s="172">
        <f t="shared" si="2"/>
        <v>7612</v>
      </c>
      <c r="G25" s="173">
        <f t="shared" si="3"/>
        <v>0.57258913795697308</v>
      </c>
      <c r="H25" s="171" t="s">
        <v>201</v>
      </c>
      <c r="I25" s="174" t="s">
        <v>268</v>
      </c>
      <c r="J25" s="174" t="s">
        <v>304</v>
      </c>
    </row>
    <row r="26" spans="1:12" ht="14.5">
      <c r="A26" s="171" t="s">
        <v>265</v>
      </c>
      <c r="B26" s="171" t="s">
        <v>305</v>
      </c>
      <c r="C26" s="171" t="s">
        <v>306</v>
      </c>
      <c r="D26" s="172">
        <v>19950</v>
      </c>
      <c r="E26" s="172">
        <v>11777</v>
      </c>
      <c r="F26" s="172">
        <f t="shared" si="2"/>
        <v>8173</v>
      </c>
      <c r="G26" s="173">
        <f t="shared" si="3"/>
        <v>0.40967418546365914</v>
      </c>
      <c r="H26" s="171" t="s">
        <v>206</v>
      </c>
      <c r="I26" s="174" t="s">
        <v>275</v>
      </c>
      <c r="J26" s="174" t="s">
        <v>307</v>
      </c>
    </row>
    <row r="27" spans="1:12" ht="14.5">
      <c r="A27" s="171" t="s">
        <v>265</v>
      </c>
      <c r="B27" s="171" t="s">
        <v>308</v>
      </c>
      <c r="C27" s="171" t="s">
        <v>309</v>
      </c>
      <c r="D27" s="172">
        <v>12400</v>
      </c>
      <c r="E27" s="172">
        <v>6970</v>
      </c>
      <c r="F27" s="172">
        <f t="shared" si="2"/>
        <v>5430</v>
      </c>
      <c r="G27" s="173">
        <f t="shared" si="3"/>
        <v>0.43790322580645163</v>
      </c>
      <c r="H27" s="171" t="s">
        <v>201</v>
      </c>
      <c r="I27" s="174" t="s">
        <v>282</v>
      </c>
      <c r="J27" s="174" t="s">
        <v>310</v>
      </c>
    </row>
    <row r="28" spans="1:12" ht="14.5">
      <c r="A28" s="171" t="s">
        <v>265</v>
      </c>
      <c r="B28" s="171" t="s">
        <v>311</v>
      </c>
      <c r="C28" s="171" t="s">
        <v>312</v>
      </c>
      <c r="D28" s="172">
        <v>25000</v>
      </c>
      <c r="E28" s="172">
        <v>0</v>
      </c>
      <c r="F28" s="172">
        <f t="shared" si="2"/>
        <v>25000</v>
      </c>
      <c r="G28" s="173">
        <f t="shared" si="3"/>
        <v>1</v>
      </c>
      <c r="H28" s="171" t="s">
        <v>200</v>
      </c>
      <c r="I28" s="174" t="s">
        <v>253</v>
      </c>
      <c r="J28" s="174" t="s">
        <v>313</v>
      </c>
      <c r="K28" s="164" t="s">
        <v>557</v>
      </c>
    </row>
    <row r="29" spans="1:12" ht="14.5">
      <c r="A29" s="171" t="s">
        <v>265</v>
      </c>
      <c r="B29" s="171" t="s">
        <v>314</v>
      </c>
      <c r="C29" s="171" t="s">
        <v>315</v>
      </c>
      <c r="D29" s="172">
        <v>162000</v>
      </c>
      <c r="E29" s="172">
        <v>93192</v>
      </c>
      <c r="F29" s="172">
        <f t="shared" si="2"/>
        <v>68808</v>
      </c>
      <c r="G29" s="173">
        <f t="shared" si="3"/>
        <v>0.42474074074074075</v>
      </c>
      <c r="H29" s="171" t="s">
        <v>198</v>
      </c>
      <c r="I29" s="174" t="s">
        <v>268</v>
      </c>
      <c r="J29" s="174" t="s">
        <v>316</v>
      </c>
    </row>
    <row r="30" spans="1:12" ht="14.5">
      <c r="A30" s="171" t="s">
        <v>265</v>
      </c>
      <c r="B30" s="186" t="s">
        <v>317</v>
      </c>
      <c r="C30" s="171" t="s">
        <v>318</v>
      </c>
      <c r="D30" s="172">
        <v>55400</v>
      </c>
      <c r="E30" s="172">
        <v>11722</v>
      </c>
      <c r="F30" s="172">
        <f t="shared" si="2"/>
        <v>43678</v>
      </c>
      <c r="G30" s="173">
        <f t="shared" si="3"/>
        <v>0.78841155234657034</v>
      </c>
      <c r="H30" s="171" t="s">
        <v>200</v>
      </c>
      <c r="I30" s="174" t="s">
        <v>282</v>
      </c>
      <c r="J30" s="174" t="s">
        <v>319</v>
      </c>
    </row>
    <row r="31" spans="1:12" ht="14.5">
      <c r="A31" s="171" t="s">
        <v>265</v>
      </c>
      <c r="B31" s="186" t="s">
        <v>320</v>
      </c>
      <c r="C31" s="171" t="s">
        <v>321</v>
      </c>
      <c r="D31" s="172">
        <v>52520</v>
      </c>
      <c r="E31" s="172">
        <v>9575</v>
      </c>
      <c r="F31" s="172">
        <f t="shared" si="2"/>
        <v>42945</v>
      </c>
      <c r="G31" s="173">
        <f t="shared" si="3"/>
        <v>0.81768849961919265</v>
      </c>
      <c r="H31" s="171" t="s">
        <v>200</v>
      </c>
      <c r="I31" s="174" t="s">
        <v>253</v>
      </c>
      <c r="J31" s="174" t="s">
        <v>322</v>
      </c>
    </row>
    <row r="32" spans="1:12" ht="14.5">
      <c r="A32" s="171" t="s">
        <v>265</v>
      </c>
      <c r="B32" s="186" t="s">
        <v>323</v>
      </c>
      <c r="C32" s="171" t="s">
        <v>324</v>
      </c>
      <c r="D32" s="172">
        <v>53000</v>
      </c>
      <c r="E32" s="172">
        <v>11554</v>
      </c>
      <c r="F32" s="172">
        <f t="shared" si="2"/>
        <v>41446</v>
      </c>
      <c r="G32" s="173">
        <f t="shared" si="3"/>
        <v>0.78200000000000003</v>
      </c>
      <c r="H32" s="171" t="s">
        <v>201</v>
      </c>
      <c r="I32" s="174" t="s">
        <v>282</v>
      </c>
      <c r="J32" s="174" t="s">
        <v>325</v>
      </c>
      <c r="L32" s="171"/>
    </row>
    <row r="33" spans="1:12" ht="14.5">
      <c r="A33" s="171" t="s">
        <v>265</v>
      </c>
      <c r="B33" s="171" t="s">
        <v>326</v>
      </c>
      <c r="C33" s="171" t="s">
        <v>327</v>
      </c>
      <c r="D33" s="172">
        <v>44950</v>
      </c>
      <c r="E33" s="172">
        <v>17604</v>
      </c>
      <c r="F33" s="172">
        <f t="shared" si="2"/>
        <v>27346</v>
      </c>
      <c r="G33" s="173">
        <f t="shared" si="3"/>
        <v>0.60836484983314798</v>
      </c>
      <c r="H33" s="171" t="s">
        <v>201</v>
      </c>
      <c r="I33" s="174" t="s">
        <v>253</v>
      </c>
      <c r="J33" s="174" t="s">
        <v>328</v>
      </c>
      <c r="L33" s="171"/>
    </row>
    <row r="34" spans="1:12" ht="14.5">
      <c r="A34" s="171" t="s">
        <v>265</v>
      </c>
      <c r="B34" s="171" t="s">
        <v>329</v>
      </c>
      <c r="C34" s="171" t="s">
        <v>330</v>
      </c>
      <c r="D34" s="172">
        <v>11000</v>
      </c>
      <c r="E34" s="172">
        <v>4517</v>
      </c>
      <c r="F34" s="172">
        <f t="shared" si="2"/>
        <v>6483</v>
      </c>
      <c r="G34" s="173">
        <f t="shared" si="3"/>
        <v>0.58936363636363631</v>
      </c>
      <c r="H34" s="171" t="s">
        <v>200</v>
      </c>
      <c r="I34" s="174" t="s">
        <v>253</v>
      </c>
      <c r="J34" s="174" t="s">
        <v>331</v>
      </c>
      <c r="L34" s="171"/>
    </row>
    <row r="35" spans="1:12" ht="14.5">
      <c r="A35" s="171" t="s">
        <v>265</v>
      </c>
      <c r="B35" s="171" t="s">
        <v>332</v>
      </c>
      <c r="C35" s="171" t="s">
        <v>333</v>
      </c>
      <c r="D35" s="172">
        <v>4800</v>
      </c>
      <c r="E35" s="172">
        <v>0</v>
      </c>
      <c r="F35" s="172">
        <f t="shared" si="2"/>
        <v>4800</v>
      </c>
      <c r="G35" s="173">
        <f t="shared" si="3"/>
        <v>1</v>
      </c>
      <c r="H35" s="171" t="s">
        <v>200</v>
      </c>
      <c r="I35" s="174" t="s">
        <v>253</v>
      </c>
      <c r="J35" s="174" t="s">
        <v>334</v>
      </c>
      <c r="K35" s="164" t="s">
        <v>558</v>
      </c>
      <c r="L35" s="171"/>
    </row>
    <row r="36" spans="1:12" ht="14.5">
      <c r="A36" s="171" t="s">
        <v>335</v>
      </c>
      <c r="B36" s="171" t="s">
        <v>336</v>
      </c>
      <c r="C36" s="171" t="s">
        <v>337</v>
      </c>
      <c r="D36" s="172">
        <v>23380</v>
      </c>
      <c r="E36" s="172">
        <v>0</v>
      </c>
      <c r="F36" s="172">
        <f t="shared" si="2"/>
        <v>23380</v>
      </c>
      <c r="G36" s="173">
        <f t="shared" si="3"/>
        <v>1</v>
      </c>
      <c r="H36" s="171" t="s">
        <v>200</v>
      </c>
      <c r="I36" s="174" t="s">
        <v>253</v>
      </c>
      <c r="J36" s="174" t="s">
        <v>338</v>
      </c>
      <c r="K36" s="164" t="s">
        <v>559</v>
      </c>
      <c r="L36" s="171"/>
    </row>
    <row r="37" spans="1:12" ht="14.5">
      <c r="A37" s="171" t="s">
        <v>339</v>
      </c>
      <c r="B37" s="171" t="s">
        <v>340</v>
      </c>
      <c r="C37" s="171" t="s">
        <v>341</v>
      </c>
      <c r="D37" s="172">
        <v>20860</v>
      </c>
      <c r="E37" s="172">
        <v>0</v>
      </c>
      <c r="F37" s="172">
        <f t="shared" si="2"/>
        <v>20860</v>
      </c>
      <c r="G37" s="173">
        <f t="shared" si="3"/>
        <v>1</v>
      </c>
      <c r="H37" s="171" t="s">
        <v>342</v>
      </c>
      <c r="I37" s="174" t="s">
        <v>275</v>
      </c>
      <c r="J37" s="174" t="s">
        <v>343</v>
      </c>
      <c r="K37" s="207" t="s">
        <v>560</v>
      </c>
      <c r="L37" s="171"/>
    </row>
    <row r="38" spans="1:12" ht="14.5">
      <c r="A38" s="171" t="s">
        <v>339</v>
      </c>
      <c r="B38" s="171" t="s">
        <v>344</v>
      </c>
      <c r="C38" s="171" t="s">
        <v>345</v>
      </c>
      <c r="D38" s="172">
        <v>11400</v>
      </c>
      <c r="E38" s="172">
        <v>5154</v>
      </c>
      <c r="F38" s="172">
        <f t="shared" si="2"/>
        <v>6246</v>
      </c>
      <c r="G38" s="173">
        <f t="shared" si="3"/>
        <v>0.54789473684210521</v>
      </c>
      <c r="H38" s="171" t="s">
        <v>201</v>
      </c>
      <c r="I38" s="174" t="s">
        <v>253</v>
      </c>
      <c r="J38" s="174" t="s">
        <v>346</v>
      </c>
      <c r="L38" s="171"/>
    </row>
    <row r="39" spans="1:12" ht="14.5">
      <c r="A39" s="171" t="s">
        <v>339</v>
      </c>
      <c r="B39" s="171" t="s">
        <v>347</v>
      </c>
      <c r="C39" s="171" t="s">
        <v>348</v>
      </c>
      <c r="D39" s="172">
        <v>45000</v>
      </c>
      <c r="E39" s="172">
        <v>17658</v>
      </c>
      <c r="F39" s="172">
        <f t="shared" si="2"/>
        <v>27342</v>
      </c>
      <c r="G39" s="173">
        <f t="shared" si="3"/>
        <v>0.60760000000000003</v>
      </c>
      <c r="H39" s="171" t="s">
        <v>201</v>
      </c>
      <c r="I39" s="174" t="s">
        <v>253</v>
      </c>
      <c r="J39" s="174" t="s">
        <v>349</v>
      </c>
      <c r="L39" s="171"/>
    </row>
    <row r="40" spans="1:12" ht="14.5">
      <c r="A40" s="171" t="s">
        <v>250</v>
      </c>
      <c r="B40" s="171" t="s">
        <v>350</v>
      </c>
      <c r="C40" s="171" t="s">
        <v>351</v>
      </c>
      <c r="D40" s="172">
        <v>29800</v>
      </c>
      <c r="E40" s="172">
        <v>16264</v>
      </c>
      <c r="F40" s="172">
        <f t="shared" si="2"/>
        <v>13536</v>
      </c>
      <c r="G40" s="173">
        <f t="shared" si="3"/>
        <v>0.45422818791946307</v>
      </c>
      <c r="H40" s="171" t="s">
        <v>201</v>
      </c>
      <c r="I40" s="174" t="s">
        <v>282</v>
      </c>
      <c r="J40" s="174" t="s">
        <v>352</v>
      </c>
      <c r="L40" s="171"/>
    </row>
    <row r="41" spans="1:12" ht="14.5">
      <c r="A41" s="171" t="s">
        <v>250</v>
      </c>
      <c r="B41" s="186" t="s">
        <v>353</v>
      </c>
      <c r="C41" s="171" t="s">
        <v>354</v>
      </c>
      <c r="D41" s="172">
        <v>98780</v>
      </c>
      <c r="E41" s="172">
        <v>31189</v>
      </c>
      <c r="F41" s="172">
        <f t="shared" si="2"/>
        <v>67591</v>
      </c>
      <c r="G41" s="173">
        <f t="shared" si="3"/>
        <v>0.68425794695282449</v>
      </c>
      <c r="H41" s="171" t="s">
        <v>197</v>
      </c>
      <c r="I41" s="174" t="s">
        <v>282</v>
      </c>
      <c r="J41" s="174" t="s">
        <v>355</v>
      </c>
      <c r="L41" s="171"/>
    </row>
    <row r="42" spans="1:12" ht="14.5">
      <c r="A42" s="171" t="s">
        <v>250</v>
      </c>
      <c r="B42" s="186" t="s">
        <v>317</v>
      </c>
      <c r="C42" s="171" t="s">
        <v>356</v>
      </c>
      <c r="D42" s="172">
        <v>23100</v>
      </c>
      <c r="E42" s="172">
        <v>5666</v>
      </c>
      <c r="F42" s="172">
        <f t="shared" si="2"/>
        <v>17434</v>
      </c>
      <c r="G42" s="173">
        <f t="shared" si="3"/>
        <v>0.75471861471861468</v>
      </c>
      <c r="H42" s="171" t="s">
        <v>200</v>
      </c>
      <c r="I42" s="174" t="s">
        <v>282</v>
      </c>
      <c r="J42" s="174" t="s">
        <v>357</v>
      </c>
      <c r="L42" s="171"/>
    </row>
    <row r="43" spans="1:12" ht="14.5">
      <c r="A43" s="171" t="s">
        <v>250</v>
      </c>
      <c r="B43" s="171" t="s">
        <v>358</v>
      </c>
      <c r="C43" s="171" t="s">
        <v>359</v>
      </c>
      <c r="D43" s="172">
        <v>26560</v>
      </c>
      <c r="E43" s="172">
        <v>1414</v>
      </c>
      <c r="F43" s="172">
        <f t="shared" si="2"/>
        <v>25146</v>
      </c>
      <c r="G43" s="173">
        <f t="shared" si="3"/>
        <v>0.9467620481927711</v>
      </c>
      <c r="H43" s="171" t="s">
        <v>360</v>
      </c>
      <c r="I43" s="174" t="s">
        <v>282</v>
      </c>
      <c r="J43" s="174" t="s">
        <v>361</v>
      </c>
      <c r="L43" s="171"/>
    </row>
    <row r="44" spans="1:12" ht="14.5">
      <c r="A44" s="171" t="s">
        <v>250</v>
      </c>
      <c r="B44" s="171" t="str">
        <f>B43</f>
        <v>南良</v>
      </c>
      <c r="C44" s="171" t="s">
        <v>362</v>
      </c>
      <c r="D44" s="172">
        <v>79600</v>
      </c>
      <c r="E44" s="172">
        <v>25262</v>
      </c>
      <c r="F44" s="172">
        <f t="shared" si="2"/>
        <v>54338</v>
      </c>
      <c r="G44" s="173">
        <f t="shared" si="3"/>
        <v>0.68263819095477385</v>
      </c>
      <c r="H44" s="171" t="s">
        <v>360</v>
      </c>
      <c r="I44" s="174" t="s">
        <v>282</v>
      </c>
      <c r="J44" s="174" t="s">
        <v>363</v>
      </c>
      <c r="L44" s="171"/>
    </row>
    <row r="45" spans="1:12" ht="14.5">
      <c r="A45" s="171" t="s">
        <v>250</v>
      </c>
      <c r="B45" s="171" t="s">
        <v>251</v>
      </c>
      <c r="C45" s="171" t="s">
        <v>364</v>
      </c>
      <c r="D45" s="172">
        <v>200000</v>
      </c>
      <c r="E45" s="172">
        <v>95219</v>
      </c>
      <c r="F45" s="172">
        <f t="shared" si="2"/>
        <v>104781</v>
      </c>
      <c r="G45" s="173">
        <f t="shared" si="3"/>
        <v>0.52390499999999995</v>
      </c>
      <c r="H45" s="171" t="s">
        <v>200</v>
      </c>
      <c r="I45" s="174" t="s">
        <v>253</v>
      </c>
      <c r="J45" s="174" t="s">
        <v>365</v>
      </c>
      <c r="L45" s="171"/>
    </row>
    <row r="46" spans="1:12" ht="14.5">
      <c r="A46" s="171" t="s">
        <v>250</v>
      </c>
      <c r="B46" s="171" t="s">
        <v>366</v>
      </c>
      <c r="C46" s="171" t="s">
        <v>367</v>
      </c>
      <c r="D46" s="172">
        <v>4700</v>
      </c>
      <c r="E46" s="172">
        <v>992</v>
      </c>
      <c r="F46" s="172">
        <f t="shared" ref="F46:F72" si="4">D46-E46</f>
        <v>3708</v>
      </c>
      <c r="G46" s="173">
        <f t="shared" ref="G46:G72" si="5">F46/D46</f>
        <v>0.78893617021276596</v>
      </c>
      <c r="H46" s="171" t="s">
        <v>200</v>
      </c>
      <c r="I46" s="174" t="s">
        <v>253</v>
      </c>
      <c r="J46" s="174" t="s">
        <v>368</v>
      </c>
      <c r="L46" s="171"/>
    </row>
    <row r="47" spans="1:12" ht="14.5">
      <c r="A47" s="171" t="s">
        <v>369</v>
      </c>
      <c r="B47" s="171" t="s">
        <v>370</v>
      </c>
      <c r="C47" s="171" t="s">
        <v>371</v>
      </c>
      <c r="D47" s="172">
        <v>5600</v>
      </c>
      <c r="E47" s="172">
        <v>2488</v>
      </c>
      <c r="F47" s="172">
        <f t="shared" si="4"/>
        <v>3112</v>
      </c>
      <c r="G47" s="173">
        <f t="shared" si="5"/>
        <v>0.55571428571428572</v>
      </c>
      <c r="H47" s="171" t="s">
        <v>201</v>
      </c>
      <c r="I47" s="174" t="s">
        <v>253</v>
      </c>
      <c r="J47" s="174" t="s">
        <v>372</v>
      </c>
      <c r="L47" s="171"/>
    </row>
    <row r="48" spans="1:12" ht="14.5">
      <c r="A48" s="171" t="s">
        <v>284</v>
      </c>
      <c r="B48" s="171" t="s">
        <v>373</v>
      </c>
      <c r="C48" s="171" t="s">
        <v>374</v>
      </c>
      <c r="D48" s="172">
        <v>1600</v>
      </c>
      <c r="E48" s="172">
        <v>0</v>
      </c>
      <c r="F48" s="172">
        <f t="shared" si="4"/>
        <v>1600</v>
      </c>
      <c r="G48" s="173">
        <f t="shared" si="5"/>
        <v>1</v>
      </c>
      <c r="H48" s="171" t="s">
        <v>200</v>
      </c>
      <c r="I48" s="174" t="s">
        <v>253</v>
      </c>
      <c r="J48" s="174" t="s">
        <v>375</v>
      </c>
      <c r="K48" s="207" t="s">
        <v>561</v>
      </c>
      <c r="L48" s="171"/>
    </row>
    <row r="49" spans="1:12" ht="14.5">
      <c r="A49" s="171" t="s">
        <v>284</v>
      </c>
      <c r="B49" s="171" t="s">
        <v>376</v>
      </c>
      <c r="C49" s="171" t="s">
        <v>377</v>
      </c>
      <c r="D49" s="172">
        <v>3600</v>
      </c>
      <c r="E49" s="172">
        <v>0</v>
      </c>
      <c r="F49" s="172">
        <f t="shared" si="4"/>
        <v>3600</v>
      </c>
      <c r="G49" s="173">
        <f t="shared" si="5"/>
        <v>1</v>
      </c>
      <c r="H49" s="171" t="s">
        <v>200</v>
      </c>
      <c r="I49" s="174" t="s">
        <v>253</v>
      </c>
      <c r="J49" s="174" t="s">
        <v>378</v>
      </c>
      <c r="K49" s="207" t="s">
        <v>560</v>
      </c>
      <c r="L49" s="171"/>
    </row>
    <row r="50" spans="1:12" ht="14.5">
      <c r="A50" s="171" t="s">
        <v>284</v>
      </c>
      <c r="B50" s="171" t="s">
        <v>379</v>
      </c>
      <c r="C50" s="171" t="s">
        <v>380</v>
      </c>
      <c r="D50" s="172">
        <v>5500</v>
      </c>
      <c r="E50" s="172">
        <v>0</v>
      </c>
      <c r="F50" s="172">
        <f t="shared" si="4"/>
        <v>5500</v>
      </c>
      <c r="G50" s="173">
        <f t="shared" si="5"/>
        <v>1</v>
      </c>
      <c r="H50" s="171" t="s">
        <v>200</v>
      </c>
      <c r="I50" s="174" t="s">
        <v>253</v>
      </c>
      <c r="J50" s="174" t="s">
        <v>381</v>
      </c>
      <c r="K50" s="207" t="s">
        <v>560</v>
      </c>
      <c r="L50" s="171"/>
    </row>
    <row r="51" spans="1:12" ht="14.5">
      <c r="A51" s="171" t="s">
        <v>284</v>
      </c>
      <c r="B51" s="171" t="s">
        <v>311</v>
      </c>
      <c r="C51" s="171" t="s">
        <v>382</v>
      </c>
      <c r="D51" s="172">
        <v>3300</v>
      </c>
      <c r="E51" s="172">
        <v>0</v>
      </c>
      <c r="F51" s="172">
        <f t="shared" si="4"/>
        <v>3300</v>
      </c>
      <c r="G51" s="173">
        <f t="shared" si="5"/>
        <v>1</v>
      </c>
      <c r="H51" s="171" t="s">
        <v>200</v>
      </c>
      <c r="I51" s="174" t="s">
        <v>253</v>
      </c>
      <c r="J51" s="174" t="s">
        <v>383</v>
      </c>
      <c r="K51" s="208" t="s">
        <v>562</v>
      </c>
      <c r="L51" s="171"/>
    </row>
    <row r="52" spans="1:12" ht="14.5">
      <c r="A52" s="171" t="s">
        <v>277</v>
      </c>
      <c r="B52" s="171" t="s">
        <v>384</v>
      </c>
      <c r="C52" s="171" t="s">
        <v>385</v>
      </c>
      <c r="D52" s="172">
        <v>1100</v>
      </c>
      <c r="E52" s="172">
        <v>260</v>
      </c>
      <c r="F52" s="172">
        <f t="shared" si="4"/>
        <v>840</v>
      </c>
      <c r="G52" s="173">
        <f t="shared" si="5"/>
        <v>0.76363636363636367</v>
      </c>
      <c r="H52" s="171" t="s">
        <v>197</v>
      </c>
      <c r="I52" s="174" t="s">
        <v>282</v>
      </c>
      <c r="J52" s="174" t="s">
        <v>386</v>
      </c>
      <c r="L52" s="171"/>
    </row>
    <row r="53" spans="1:12" ht="14.5">
      <c r="A53" s="171" t="s">
        <v>277</v>
      </c>
      <c r="B53" s="171" t="s">
        <v>347</v>
      </c>
      <c r="C53" s="171" t="s">
        <v>387</v>
      </c>
      <c r="D53" s="172">
        <v>16100</v>
      </c>
      <c r="E53" s="172">
        <v>7084</v>
      </c>
      <c r="F53" s="172">
        <f t="shared" si="4"/>
        <v>9016</v>
      </c>
      <c r="G53" s="173">
        <f t="shared" si="5"/>
        <v>0.56000000000000005</v>
      </c>
      <c r="H53" s="171" t="s">
        <v>201</v>
      </c>
      <c r="I53" s="174" t="s">
        <v>282</v>
      </c>
      <c r="J53" s="174" t="s">
        <v>388</v>
      </c>
      <c r="L53" s="171"/>
    </row>
    <row r="54" spans="1:12" ht="14.5">
      <c r="A54" s="171" t="s">
        <v>290</v>
      </c>
      <c r="B54" s="186" t="s">
        <v>389</v>
      </c>
      <c r="C54" s="171" t="s">
        <v>390</v>
      </c>
      <c r="D54" s="172">
        <v>25000</v>
      </c>
      <c r="E54" s="172">
        <v>277</v>
      </c>
      <c r="F54" s="172">
        <f t="shared" si="4"/>
        <v>24723</v>
      </c>
      <c r="G54" s="173">
        <f t="shared" si="5"/>
        <v>0.98892000000000002</v>
      </c>
      <c r="H54" s="171" t="s">
        <v>200</v>
      </c>
      <c r="I54" s="174" t="s">
        <v>253</v>
      </c>
      <c r="J54" s="174" t="s">
        <v>391</v>
      </c>
      <c r="L54" s="171"/>
    </row>
    <row r="55" spans="1:12" ht="14.5">
      <c r="A55" s="171" t="s">
        <v>290</v>
      </c>
      <c r="B55" s="171" t="s">
        <v>392</v>
      </c>
      <c r="C55" s="171" t="s">
        <v>393</v>
      </c>
      <c r="D55" s="172">
        <v>22800</v>
      </c>
      <c r="E55" s="172">
        <v>23444</v>
      </c>
      <c r="F55" s="187">
        <f t="shared" si="4"/>
        <v>-644</v>
      </c>
      <c r="G55" s="173">
        <f t="shared" si="5"/>
        <v>-2.824561403508772E-2</v>
      </c>
      <c r="H55" s="171" t="s">
        <v>205</v>
      </c>
      <c r="I55" s="174" t="s">
        <v>268</v>
      </c>
      <c r="J55" s="174" t="s">
        <v>394</v>
      </c>
      <c r="L55" s="171"/>
    </row>
    <row r="56" spans="1:12" ht="14.5">
      <c r="A56" s="171" t="s">
        <v>395</v>
      </c>
      <c r="B56" s="171" t="s">
        <v>305</v>
      </c>
      <c r="C56" s="171" t="s">
        <v>396</v>
      </c>
      <c r="D56" s="172">
        <v>42000</v>
      </c>
      <c r="E56" s="172">
        <v>16856</v>
      </c>
      <c r="F56" s="172">
        <f t="shared" si="4"/>
        <v>25144</v>
      </c>
      <c r="G56" s="173">
        <f t="shared" si="5"/>
        <v>0.59866666666666668</v>
      </c>
      <c r="H56" s="171" t="s">
        <v>206</v>
      </c>
      <c r="I56" s="174" t="s">
        <v>268</v>
      </c>
      <c r="J56" s="174" t="s">
        <v>397</v>
      </c>
      <c r="L56" s="171"/>
    </row>
    <row r="57" spans="1:12" ht="14.5">
      <c r="A57" s="171" t="s">
        <v>398</v>
      </c>
      <c r="B57" s="171" t="s">
        <v>314</v>
      </c>
      <c r="C57" s="171" t="s">
        <v>399</v>
      </c>
      <c r="D57" s="172">
        <v>73050</v>
      </c>
      <c r="E57" s="172">
        <v>42434</v>
      </c>
      <c r="F57" s="172">
        <f t="shared" si="4"/>
        <v>30616</v>
      </c>
      <c r="G57" s="173">
        <f t="shared" si="5"/>
        <v>0.41911019849418207</v>
      </c>
      <c r="H57" s="171" t="s">
        <v>198</v>
      </c>
      <c r="I57" s="174" t="s">
        <v>268</v>
      </c>
      <c r="J57" s="174" t="s">
        <v>400</v>
      </c>
      <c r="L57" s="171"/>
    </row>
    <row r="58" spans="1:12" ht="14.5">
      <c r="A58" s="171" t="s">
        <v>398</v>
      </c>
      <c r="B58" s="171" t="s">
        <v>401</v>
      </c>
      <c r="C58" s="171" t="s">
        <v>402</v>
      </c>
      <c r="D58" s="172">
        <v>136500</v>
      </c>
      <c r="E58" s="172">
        <v>91570</v>
      </c>
      <c r="F58" s="172">
        <f t="shared" si="4"/>
        <v>44930</v>
      </c>
      <c r="G58" s="173">
        <f t="shared" si="5"/>
        <v>0.32915750915750913</v>
      </c>
      <c r="H58" s="171" t="s">
        <v>206</v>
      </c>
      <c r="I58" s="174" t="s">
        <v>275</v>
      </c>
      <c r="J58" s="174" t="s">
        <v>403</v>
      </c>
      <c r="L58" s="171"/>
    </row>
    <row r="59" spans="1:12" ht="14.5">
      <c r="A59" s="171" t="s">
        <v>398</v>
      </c>
      <c r="B59" s="171" t="s">
        <v>404</v>
      </c>
      <c r="C59" s="171" t="s">
        <v>405</v>
      </c>
      <c r="D59" s="172">
        <v>29000</v>
      </c>
      <c r="E59" s="172">
        <v>15149</v>
      </c>
      <c r="F59" s="172">
        <f t="shared" si="4"/>
        <v>13851</v>
      </c>
      <c r="G59" s="173">
        <f t="shared" si="5"/>
        <v>0.4776206896551724</v>
      </c>
      <c r="H59" s="171" t="s">
        <v>201</v>
      </c>
      <c r="I59" s="174" t="s">
        <v>282</v>
      </c>
      <c r="J59" s="174" t="s">
        <v>406</v>
      </c>
      <c r="L59" s="171"/>
    </row>
    <row r="60" spans="1:12">
      <c r="A60" s="171" t="s">
        <v>398</v>
      </c>
      <c r="B60" s="186" t="str">
        <f>B59</f>
        <v>統一</v>
      </c>
      <c r="C60" s="171" t="s">
        <v>407</v>
      </c>
      <c r="D60" s="172">
        <v>47000</v>
      </c>
      <c r="E60" s="172">
        <v>4600</v>
      </c>
      <c r="F60" s="172">
        <f t="shared" si="4"/>
        <v>42400</v>
      </c>
      <c r="G60" s="173">
        <f t="shared" si="5"/>
        <v>0.90212765957446805</v>
      </c>
      <c r="H60" s="171" t="s">
        <v>201</v>
      </c>
      <c r="I60" s="174" t="s">
        <v>282</v>
      </c>
      <c r="J60" s="174" t="s">
        <v>408</v>
      </c>
      <c r="L60" s="171"/>
    </row>
    <row r="61" spans="1:12">
      <c r="A61" s="171" t="s">
        <v>398</v>
      </c>
      <c r="B61" s="171" t="str">
        <f>B60</f>
        <v>統一</v>
      </c>
      <c r="C61" s="171" t="s">
        <v>409</v>
      </c>
      <c r="D61" s="172">
        <v>15200</v>
      </c>
      <c r="E61" s="172">
        <v>7556</v>
      </c>
      <c r="F61" s="172">
        <f t="shared" si="4"/>
        <v>7644</v>
      </c>
      <c r="G61" s="173">
        <f t="shared" si="5"/>
        <v>0.50289473684210528</v>
      </c>
      <c r="H61" s="171" t="s">
        <v>201</v>
      </c>
      <c r="I61" s="174" t="s">
        <v>282</v>
      </c>
      <c r="J61" s="174" t="s">
        <v>410</v>
      </c>
      <c r="L61" s="171"/>
    </row>
    <row r="62" spans="1:12">
      <c r="A62" s="171" t="s">
        <v>398</v>
      </c>
      <c r="B62" s="171" t="str">
        <f>B61</f>
        <v>統一</v>
      </c>
      <c r="C62" s="171" t="s">
        <v>411</v>
      </c>
      <c r="D62" s="172">
        <v>31540</v>
      </c>
      <c r="E62" s="172">
        <v>20810</v>
      </c>
      <c r="F62" s="172">
        <f t="shared" si="4"/>
        <v>10730</v>
      </c>
      <c r="G62" s="173">
        <f t="shared" si="5"/>
        <v>0.34020291693088139</v>
      </c>
      <c r="H62" s="171" t="s">
        <v>201</v>
      </c>
      <c r="I62" s="174" t="s">
        <v>282</v>
      </c>
      <c r="J62" s="174" t="s">
        <v>412</v>
      </c>
      <c r="L62" s="171"/>
    </row>
    <row r="63" spans="1:12" ht="14.5">
      <c r="A63" s="171" t="s">
        <v>398</v>
      </c>
      <c r="B63" s="171" t="s">
        <v>413</v>
      </c>
      <c r="C63" s="171" t="s">
        <v>414</v>
      </c>
      <c r="D63" s="172">
        <v>15000</v>
      </c>
      <c r="E63" s="172">
        <v>0</v>
      </c>
      <c r="F63" s="172">
        <f t="shared" si="4"/>
        <v>15000</v>
      </c>
      <c r="G63" s="173">
        <f t="shared" si="5"/>
        <v>1</v>
      </c>
      <c r="H63" s="171" t="s">
        <v>200</v>
      </c>
      <c r="I63" s="174" t="s">
        <v>282</v>
      </c>
      <c r="J63" s="174" t="s">
        <v>415</v>
      </c>
      <c r="K63" s="164" t="s">
        <v>563</v>
      </c>
      <c r="L63" s="171"/>
    </row>
    <row r="64" spans="1:12" ht="14.5">
      <c r="A64" s="171" t="s">
        <v>416</v>
      </c>
      <c r="B64" s="171" t="s">
        <v>350</v>
      </c>
      <c r="C64" s="171" t="s">
        <v>417</v>
      </c>
      <c r="D64" s="172">
        <v>4560</v>
      </c>
      <c r="E64" s="172">
        <v>2583</v>
      </c>
      <c r="F64" s="172">
        <f t="shared" si="4"/>
        <v>1977</v>
      </c>
      <c r="G64" s="173">
        <f t="shared" si="5"/>
        <v>0.43355263157894736</v>
      </c>
      <c r="H64" s="171" t="s">
        <v>201</v>
      </c>
      <c r="I64" s="174" t="s">
        <v>282</v>
      </c>
      <c r="J64" s="174" t="s">
        <v>418</v>
      </c>
      <c r="L64" s="171"/>
    </row>
    <row r="65" spans="1:12" ht="14.5">
      <c r="A65" s="171" t="s">
        <v>255</v>
      </c>
      <c r="B65" s="171" t="s">
        <v>358</v>
      </c>
      <c r="C65" s="171" t="s">
        <v>419</v>
      </c>
      <c r="D65" s="172">
        <v>5550</v>
      </c>
      <c r="E65" s="172">
        <v>32</v>
      </c>
      <c r="F65" s="172">
        <f t="shared" si="4"/>
        <v>5518</v>
      </c>
      <c r="G65" s="173">
        <f t="shared" si="5"/>
        <v>0.99423423423423418</v>
      </c>
      <c r="H65" s="171" t="s">
        <v>360</v>
      </c>
      <c r="I65" s="174" t="s">
        <v>282</v>
      </c>
      <c r="J65" s="174" t="s">
        <v>420</v>
      </c>
      <c r="L65" s="171"/>
    </row>
    <row r="66" spans="1:12" ht="14.5">
      <c r="A66" s="171" t="s">
        <v>255</v>
      </c>
      <c r="B66" s="171" t="str">
        <f>B65</f>
        <v>南良</v>
      </c>
      <c r="C66" s="171" t="s">
        <v>421</v>
      </c>
      <c r="D66" s="172">
        <v>22520</v>
      </c>
      <c r="E66" s="172">
        <v>0</v>
      </c>
      <c r="F66" s="172">
        <f t="shared" si="4"/>
        <v>22520</v>
      </c>
      <c r="G66" s="173">
        <f t="shared" si="5"/>
        <v>1</v>
      </c>
      <c r="H66" s="171" t="s">
        <v>360</v>
      </c>
      <c r="I66" s="174" t="s">
        <v>282</v>
      </c>
      <c r="J66" s="174" t="s">
        <v>422</v>
      </c>
      <c r="K66" s="164" t="s">
        <v>564</v>
      </c>
      <c r="L66" s="171"/>
    </row>
    <row r="67" spans="1:12" ht="14.5">
      <c r="A67" s="171" t="s">
        <v>255</v>
      </c>
      <c r="B67" s="186" t="s">
        <v>384</v>
      </c>
      <c r="C67" s="171" t="s">
        <v>423</v>
      </c>
      <c r="D67" s="172">
        <v>29000</v>
      </c>
      <c r="E67" s="172">
        <v>2111</v>
      </c>
      <c r="F67" s="172">
        <f t="shared" si="4"/>
        <v>26889</v>
      </c>
      <c r="G67" s="173">
        <f t="shared" si="5"/>
        <v>0.92720689655172417</v>
      </c>
      <c r="H67" s="171" t="s">
        <v>197</v>
      </c>
      <c r="I67" s="174" t="s">
        <v>282</v>
      </c>
      <c r="J67" s="174" t="s">
        <v>424</v>
      </c>
      <c r="L67" s="171"/>
    </row>
    <row r="68" spans="1:12" ht="14.5">
      <c r="A68" s="171" t="s">
        <v>255</v>
      </c>
      <c r="B68" s="186" t="s">
        <v>425</v>
      </c>
      <c r="C68" s="171" t="s">
        <v>426</v>
      </c>
      <c r="D68" s="172">
        <v>53000</v>
      </c>
      <c r="E68" s="172">
        <v>11436</v>
      </c>
      <c r="F68" s="172">
        <f t="shared" si="4"/>
        <v>41564</v>
      </c>
      <c r="G68" s="173">
        <f t="shared" si="5"/>
        <v>0.78422641509433966</v>
      </c>
      <c r="H68" s="171" t="s">
        <v>201</v>
      </c>
      <c r="I68" s="174" t="s">
        <v>282</v>
      </c>
      <c r="J68" s="174" t="s">
        <v>427</v>
      </c>
      <c r="L68" s="171"/>
    </row>
    <row r="69" spans="1:12">
      <c r="A69" s="171" t="s">
        <v>255</v>
      </c>
      <c r="B69" s="171" t="str">
        <f>B68</f>
        <v>馬玉山</v>
      </c>
      <c r="C69" s="171" t="s">
        <v>428</v>
      </c>
      <c r="D69" s="172">
        <v>3300</v>
      </c>
      <c r="E69" s="172">
        <v>692</v>
      </c>
      <c r="F69" s="172">
        <f t="shared" si="4"/>
        <v>2608</v>
      </c>
      <c r="G69" s="173">
        <f t="shared" si="5"/>
        <v>0.79030303030303028</v>
      </c>
      <c r="H69" s="171" t="s">
        <v>197</v>
      </c>
      <c r="I69" s="174" t="s">
        <v>282</v>
      </c>
      <c r="J69" s="174" t="s">
        <v>429</v>
      </c>
      <c r="L69" s="171"/>
    </row>
    <row r="70" spans="1:12" ht="14.5">
      <c r="A70" s="171" t="s">
        <v>255</v>
      </c>
      <c r="B70" s="186" t="s">
        <v>430</v>
      </c>
      <c r="C70" s="171" t="s">
        <v>431</v>
      </c>
      <c r="D70" s="172">
        <v>118240</v>
      </c>
      <c r="E70" s="172">
        <v>29804</v>
      </c>
      <c r="F70" s="172">
        <f t="shared" si="4"/>
        <v>88436</v>
      </c>
      <c r="G70" s="173">
        <f t="shared" si="5"/>
        <v>0.74793640054127197</v>
      </c>
      <c r="H70" s="171" t="s">
        <v>201</v>
      </c>
      <c r="I70" s="174" t="s">
        <v>282</v>
      </c>
      <c r="J70" s="174" t="s">
        <v>432</v>
      </c>
      <c r="L70" s="171"/>
    </row>
    <row r="71" spans="1:12" ht="14.5">
      <c r="A71" s="171" t="s">
        <v>255</v>
      </c>
      <c r="B71" s="171" t="s">
        <v>433</v>
      </c>
      <c r="C71" s="171" t="s">
        <v>434</v>
      </c>
      <c r="D71" s="172">
        <v>44760</v>
      </c>
      <c r="E71" s="172">
        <v>16926</v>
      </c>
      <c r="F71" s="172">
        <f t="shared" si="4"/>
        <v>27834</v>
      </c>
      <c r="G71" s="173">
        <f t="shared" si="5"/>
        <v>0.62184986595174263</v>
      </c>
      <c r="H71" s="171" t="s">
        <v>205</v>
      </c>
      <c r="I71" s="174" t="s">
        <v>268</v>
      </c>
      <c r="J71" s="174" t="s">
        <v>435</v>
      </c>
      <c r="L71" s="171"/>
    </row>
    <row r="72" spans="1:12" ht="14.5">
      <c r="A72" s="171" t="s">
        <v>255</v>
      </c>
      <c r="B72" s="171" t="s">
        <v>436</v>
      </c>
      <c r="C72" s="171" t="s">
        <v>437</v>
      </c>
      <c r="D72" s="172">
        <v>4300</v>
      </c>
      <c r="E72" s="172">
        <v>482</v>
      </c>
      <c r="F72" s="175">
        <f t="shared" si="4"/>
        <v>3818</v>
      </c>
      <c r="G72" s="176">
        <f t="shared" si="5"/>
        <v>0.88790697674418606</v>
      </c>
      <c r="H72" s="171" t="s">
        <v>201</v>
      </c>
      <c r="I72" s="174" t="s">
        <v>282</v>
      </c>
      <c r="J72" s="174" t="s">
        <v>438</v>
      </c>
      <c r="L72" s="171"/>
    </row>
    <row r="73" spans="1:12" ht="14.5">
      <c r="A73" s="177"/>
      <c r="B73" s="177" t="s">
        <v>260</v>
      </c>
      <c r="C73" s="177" t="s">
        <v>261</v>
      </c>
      <c r="D73" s="178">
        <f>SUM(D14:D72)</f>
        <v>2895158</v>
      </c>
      <c r="E73" s="178">
        <f>SUM(E14:E72)</f>
        <v>1257336</v>
      </c>
      <c r="F73" s="172">
        <f t="shared" ref="F73:F77" si="6">D73-E73</f>
        <v>1637822</v>
      </c>
      <c r="G73" s="173">
        <f t="shared" ref="G73:G77" si="7">F73/D73</f>
        <v>0.56571074877433292</v>
      </c>
      <c r="H73" s="177"/>
      <c r="I73" s="180"/>
      <c r="J73" s="180"/>
    </row>
    <row r="74" spans="1:12" ht="14.5">
      <c r="A74" s="171"/>
      <c r="B74" s="171"/>
      <c r="C74" s="171" t="s">
        <v>262</v>
      </c>
      <c r="D74" s="172"/>
      <c r="E74" s="172">
        <f>[1]物料!E39</f>
        <v>29969</v>
      </c>
      <c r="F74" s="172"/>
      <c r="G74" s="173"/>
      <c r="H74" s="171"/>
      <c r="I74" s="174"/>
      <c r="J74" s="174"/>
    </row>
    <row r="75" spans="1:12" ht="14.5">
      <c r="A75" s="171"/>
      <c r="B75" s="188" t="s">
        <v>439</v>
      </c>
      <c r="C75" s="188"/>
      <c r="D75" s="189">
        <f>SUMIF(H14:H72,"UV",D14:D72)*-0.3</f>
        <v>-120567</v>
      </c>
      <c r="E75" s="189">
        <f>SUMIF(H14:H72,"UV",E14:E72)*-0.3</f>
        <v>-71506.8</v>
      </c>
      <c r="F75" s="172"/>
      <c r="G75" s="173"/>
      <c r="H75" s="171"/>
      <c r="I75" s="174"/>
      <c r="J75" s="174"/>
    </row>
    <row r="76" spans="1:12" ht="14.5">
      <c r="A76" s="171"/>
      <c r="B76" s="171" t="s">
        <v>263</v>
      </c>
      <c r="C76" s="171"/>
      <c r="D76" s="172">
        <f>SUM(D73:D75)</f>
        <v>2774591</v>
      </c>
      <c r="E76" s="172">
        <f>SUM(E73:E75)</f>
        <v>1215798.2</v>
      </c>
      <c r="F76" s="175">
        <f t="shared" si="6"/>
        <v>1558792.8</v>
      </c>
      <c r="G76" s="176">
        <f t="shared" si="7"/>
        <v>0.56180993883422825</v>
      </c>
      <c r="H76" s="171"/>
      <c r="I76" s="174"/>
      <c r="J76" s="174"/>
    </row>
    <row r="77" spans="1:12" ht="15">
      <c r="A77" s="182"/>
      <c r="B77" s="182" t="s">
        <v>440</v>
      </c>
      <c r="C77" s="182"/>
      <c r="D77" s="183">
        <f>SUM(D76,D10)</f>
        <v>4766496</v>
      </c>
      <c r="E77" s="183">
        <f>SUM(E76,E10)</f>
        <v>2710453.2</v>
      </c>
      <c r="F77" s="172">
        <f t="shared" si="6"/>
        <v>2056042.7999999998</v>
      </c>
      <c r="G77" s="173">
        <f t="shared" si="7"/>
        <v>0.43135309460031013</v>
      </c>
      <c r="H77" s="182"/>
      <c r="I77" s="184"/>
      <c r="J77" s="185"/>
    </row>
  </sheetData>
  <phoneticPr fontId="5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0F00-8B96-4CC0-B0CF-A90DFB1DD333}">
  <dimension ref="A1:H63"/>
  <sheetViews>
    <sheetView showGridLines="0" zoomScaleNormal="100" workbookViewId="0">
      <selection activeCell="A3" sqref="A3:A4"/>
    </sheetView>
  </sheetViews>
  <sheetFormatPr defaultRowHeight="18" customHeight="1"/>
  <cols>
    <col min="1" max="1" width="14" customWidth="1"/>
    <col min="2" max="2" width="15.81640625" bestFit="1" customWidth="1"/>
    <col min="5" max="5" width="10.90625" style="138" bestFit="1" customWidth="1"/>
    <col min="6" max="6" width="12.1796875" customWidth="1"/>
    <col min="7" max="7" width="16.81640625" customWidth="1"/>
    <col min="8" max="8" width="70.81640625" bestFit="1" customWidth="1"/>
  </cols>
  <sheetData>
    <row r="1" spans="1:8" ht="17">
      <c r="A1" s="156"/>
      <c r="B1" s="156"/>
      <c r="C1" s="156"/>
      <c r="D1" s="156"/>
      <c r="E1" s="192" t="s">
        <v>441</v>
      </c>
      <c r="F1" s="156"/>
      <c r="G1" s="156"/>
      <c r="H1" s="157" t="s">
        <v>195</v>
      </c>
    </row>
    <row r="2" spans="1:8" ht="17">
      <c r="A2" s="193" t="s">
        <v>215</v>
      </c>
      <c r="B2" s="193" t="s">
        <v>211</v>
      </c>
      <c r="C2" s="193" t="s">
        <v>212</v>
      </c>
      <c r="D2" s="193" t="s">
        <v>213</v>
      </c>
      <c r="E2" s="194" t="s">
        <v>214</v>
      </c>
      <c r="F2" s="193" t="s">
        <v>196</v>
      </c>
      <c r="G2" s="193" t="s">
        <v>216</v>
      </c>
      <c r="H2" s="193" t="s">
        <v>217</v>
      </c>
    </row>
    <row r="3" spans="1:8" ht="17">
      <c r="A3" s="158" t="s">
        <v>277</v>
      </c>
      <c r="B3" s="158" t="s">
        <v>442</v>
      </c>
      <c r="C3" s="158" t="s">
        <v>443</v>
      </c>
      <c r="D3" s="158" t="s">
        <v>444</v>
      </c>
      <c r="E3" s="195">
        <v>2400</v>
      </c>
      <c r="F3" s="158" t="s">
        <v>445</v>
      </c>
      <c r="G3" s="158" t="s">
        <v>225</v>
      </c>
      <c r="H3" s="158" t="s">
        <v>446</v>
      </c>
    </row>
    <row r="4" spans="1:8" ht="17">
      <c r="A4" s="158" t="s">
        <v>265</v>
      </c>
      <c r="B4" s="158" t="s">
        <v>447</v>
      </c>
      <c r="C4" s="158" t="s">
        <v>226</v>
      </c>
      <c r="D4" s="158" t="s">
        <v>227</v>
      </c>
      <c r="E4" s="195">
        <v>29000</v>
      </c>
      <c r="F4" s="158" t="s">
        <v>448</v>
      </c>
      <c r="G4" s="158" t="s">
        <v>225</v>
      </c>
      <c r="H4" s="158" t="s">
        <v>449</v>
      </c>
    </row>
    <row r="5" spans="1:8" ht="17">
      <c r="A5" s="158" t="s">
        <v>369</v>
      </c>
      <c r="B5" s="158" t="s">
        <v>450</v>
      </c>
      <c r="C5" s="158" t="s">
        <v>451</v>
      </c>
      <c r="D5" s="158" t="s">
        <v>452</v>
      </c>
      <c r="E5" s="195">
        <v>2400</v>
      </c>
      <c r="F5" s="158" t="s">
        <v>453</v>
      </c>
      <c r="G5" s="158" t="s">
        <v>225</v>
      </c>
      <c r="H5" s="158" t="s">
        <v>454</v>
      </c>
    </row>
    <row r="6" spans="1:8" ht="17">
      <c r="A6" s="158" t="s">
        <v>335</v>
      </c>
      <c r="B6" s="158" t="s">
        <v>455</v>
      </c>
      <c r="C6" s="158" t="s">
        <v>456</v>
      </c>
      <c r="D6" s="158" t="s">
        <v>457</v>
      </c>
      <c r="E6" s="195">
        <v>12060</v>
      </c>
      <c r="F6" s="158" t="s">
        <v>458</v>
      </c>
      <c r="G6" s="158" t="s">
        <v>225</v>
      </c>
      <c r="H6" s="158" t="s">
        <v>459</v>
      </c>
    </row>
    <row r="7" spans="1:8" ht="17">
      <c r="A7" s="158" t="s">
        <v>339</v>
      </c>
      <c r="B7" s="158" t="s">
        <v>460</v>
      </c>
      <c r="C7" s="158" t="s">
        <v>456</v>
      </c>
      <c r="D7" s="158" t="s">
        <v>457</v>
      </c>
      <c r="E7" s="195">
        <v>6360</v>
      </c>
      <c r="F7" s="158" t="s">
        <v>461</v>
      </c>
      <c r="G7" s="158" t="s">
        <v>225</v>
      </c>
      <c r="H7" s="158" t="s">
        <v>462</v>
      </c>
    </row>
    <row r="8" spans="1:8" ht="17">
      <c r="A8" s="158" t="s">
        <v>218</v>
      </c>
      <c r="B8" s="158" t="s">
        <v>463</v>
      </c>
      <c r="C8" s="158" t="s">
        <v>464</v>
      </c>
      <c r="D8" s="158" t="s">
        <v>465</v>
      </c>
      <c r="E8" s="195">
        <v>32810</v>
      </c>
      <c r="F8" s="158" t="s">
        <v>466</v>
      </c>
      <c r="G8" s="158" t="s">
        <v>225</v>
      </c>
      <c r="H8" s="158" t="s">
        <v>454</v>
      </c>
    </row>
    <row r="9" spans="1:8" ht="17">
      <c r="A9" s="158" t="s">
        <v>202</v>
      </c>
      <c r="B9" s="158" t="s">
        <v>467</v>
      </c>
      <c r="C9" s="158" t="s">
        <v>468</v>
      </c>
      <c r="D9" s="158" t="s">
        <v>469</v>
      </c>
      <c r="E9" s="195">
        <v>32360</v>
      </c>
      <c r="F9" s="158" t="s">
        <v>470</v>
      </c>
      <c r="G9" s="158" t="s">
        <v>225</v>
      </c>
      <c r="H9" s="158" t="s">
        <v>471</v>
      </c>
    </row>
    <row r="10" spans="1:8" ht="17">
      <c r="A10" s="158" t="s">
        <v>202</v>
      </c>
      <c r="B10" s="158" t="s">
        <v>472</v>
      </c>
      <c r="C10" s="158" t="s">
        <v>473</v>
      </c>
      <c r="D10" s="158" t="s">
        <v>474</v>
      </c>
      <c r="E10" s="195">
        <v>1180</v>
      </c>
      <c r="F10" s="158" t="s">
        <v>475</v>
      </c>
      <c r="G10" s="158" t="s">
        <v>225</v>
      </c>
      <c r="H10" s="158" t="s">
        <v>476</v>
      </c>
    </row>
    <row r="11" spans="1:8" ht="17">
      <c r="A11" s="158" t="s">
        <v>265</v>
      </c>
      <c r="B11" s="158" t="s">
        <v>477</v>
      </c>
      <c r="C11" s="158" t="s">
        <v>478</v>
      </c>
      <c r="D11" s="158" t="s">
        <v>479</v>
      </c>
      <c r="E11" s="195">
        <v>9200</v>
      </c>
      <c r="F11" s="158" t="s">
        <v>480</v>
      </c>
      <c r="G11" s="158" t="s">
        <v>225</v>
      </c>
      <c r="H11" s="158" t="s">
        <v>481</v>
      </c>
    </row>
    <row r="12" spans="1:8" ht="17">
      <c r="A12" s="158" t="s">
        <v>265</v>
      </c>
      <c r="B12" s="158" t="s">
        <v>482</v>
      </c>
      <c r="C12" s="158" t="s">
        <v>464</v>
      </c>
      <c r="D12" s="158" t="s">
        <v>465</v>
      </c>
      <c r="E12" s="195">
        <v>3000</v>
      </c>
      <c r="F12" s="158" t="s">
        <v>483</v>
      </c>
      <c r="G12" s="158" t="s">
        <v>225</v>
      </c>
      <c r="H12" s="158" t="s">
        <v>484</v>
      </c>
    </row>
    <row r="13" spans="1:8" ht="17">
      <c r="A13" s="158" t="s">
        <v>339</v>
      </c>
      <c r="B13" s="158" t="s">
        <v>485</v>
      </c>
      <c r="C13" s="158" t="s">
        <v>456</v>
      </c>
      <c r="D13" s="158" t="s">
        <v>457</v>
      </c>
      <c r="E13" s="195">
        <v>5450</v>
      </c>
      <c r="F13" s="158" t="s">
        <v>486</v>
      </c>
      <c r="G13" s="158" t="s">
        <v>225</v>
      </c>
      <c r="H13" s="158" t="s">
        <v>487</v>
      </c>
    </row>
    <row r="14" spans="1:8" ht="17">
      <c r="A14" s="158" t="s">
        <v>488</v>
      </c>
      <c r="B14" s="158" t="s">
        <v>489</v>
      </c>
      <c r="C14" s="158" t="s">
        <v>490</v>
      </c>
      <c r="D14" s="158" t="s">
        <v>491</v>
      </c>
      <c r="E14" s="195">
        <v>3880</v>
      </c>
      <c r="F14" s="158" t="s">
        <v>492</v>
      </c>
      <c r="G14" s="158" t="s">
        <v>225</v>
      </c>
      <c r="H14" s="158" t="s">
        <v>493</v>
      </c>
    </row>
    <row r="15" spans="1:8" ht="17">
      <c r="A15" s="158" t="s">
        <v>284</v>
      </c>
      <c r="B15" s="158" t="s">
        <v>494</v>
      </c>
      <c r="C15" s="158" t="s">
        <v>495</v>
      </c>
      <c r="D15" s="158" t="s">
        <v>496</v>
      </c>
      <c r="E15" s="195">
        <v>11520</v>
      </c>
      <c r="F15" s="158" t="s">
        <v>497</v>
      </c>
      <c r="G15" s="158" t="s">
        <v>225</v>
      </c>
      <c r="H15" s="158" t="s">
        <v>498</v>
      </c>
    </row>
    <row r="16" spans="1:8" ht="17">
      <c r="A16" s="158" t="s">
        <v>290</v>
      </c>
      <c r="B16" s="158" t="s">
        <v>499</v>
      </c>
      <c r="C16" s="158" t="s">
        <v>228</v>
      </c>
      <c r="D16" s="158" t="s">
        <v>229</v>
      </c>
      <c r="E16" s="195">
        <v>20</v>
      </c>
      <c r="F16" s="158" t="s">
        <v>500</v>
      </c>
      <c r="G16" s="158" t="s">
        <v>225</v>
      </c>
      <c r="H16" s="158" t="s">
        <v>501</v>
      </c>
    </row>
    <row r="17" spans="1:8" ht="17">
      <c r="A17" s="158" t="s">
        <v>335</v>
      </c>
      <c r="B17" s="158" t="s">
        <v>502</v>
      </c>
      <c r="C17" s="158" t="s">
        <v>230</v>
      </c>
      <c r="D17" s="158" t="s">
        <v>231</v>
      </c>
      <c r="E17" s="195">
        <v>690</v>
      </c>
      <c r="F17" s="158" t="s">
        <v>503</v>
      </c>
      <c r="G17" s="158" t="s">
        <v>225</v>
      </c>
      <c r="H17" s="158" t="s">
        <v>504</v>
      </c>
    </row>
    <row r="18" spans="1:8" ht="17">
      <c r="A18" s="158" t="s">
        <v>369</v>
      </c>
      <c r="B18" s="158" t="s">
        <v>505</v>
      </c>
      <c r="C18" s="158" t="s">
        <v>230</v>
      </c>
      <c r="D18" s="158" t="s">
        <v>231</v>
      </c>
      <c r="E18" s="195">
        <v>14288</v>
      </c>
      <c r="F18" s="158" t="s">
        <v>506</v>
      </c>
      <c r="G18" s="158" t="s">
        <v>225</v>
      </c>
      <c r="H18" s="158" t="s">
        <v>507</v>
      </c>
    </row>
    <row r="19" spans="1:8" ht="17">
      <c r="A19" s="158" t="s">
        <v>277</v>
      </c>
      <c r="B19" s="158" t="s">
        <v>508</v>
      </c>
      <c r="C19" s="158" t="s">
        <v>464</v>
      </c>
      <c r="D19" s="158" t="s">
        <v>465</v>
      </c>
      <c r="E19" s="195">
        <v>8200</v>
      </c>
      <c r="F19" s="158" t="s">
        <v>509</v>
      </c>
      <c r="G19" s="158" t="s">
        <v>225</v>
      </c>
      <c r="H19" s="158" t="s">
        <v>510</v>
      </c>
    </row>
    <row r="20" spans="1:8" ht="17">
      <c r="A20" s="158" t="s">
        <v>511</v>
      </c>
      <c r="B20" s="158" t="s">
        <v>512</v>
      </c>
      <c r="C20" s="158" t="s">
        <v>513</v>
      </c>
      <c r="D20" s="158" t="s">
        <v>514</v>
      </c>
      <c r="E20" s="196">
        <v>55200</v>
      </c>
      <c r="F20" s="158" t="s">
        <v>515</v>
      </c>
      <c r="G20" s="158" t="s">
        <v>222</v>
      </c>
      <c r="H20" s="158" t="s">
        <v>516</v>
      </c>
    </row>
    <row r="21" spans="1:8" ht="17">
      <c r="A21" s="158" t="s">
        <v>517</v>
      </c>
      <c r="B21" s="158" t="s">
        <v>518</v>
      </c>
      <c r="C21" s="158" t="s">
        <v>519</v>
      </c>
      <c r="D21" s="158" t="s">
        <v>520</v>
      </c>
      <c r="E21" s="195">
        <v>6000</v>
      </c>
      <c r="F21" s="158" t="s">
        <v>521</v>
      </c>
      <c r="G21" s="158" t="s">
        <v>222</v>
      </c>
      <c r="H21" s="158" t="s">
        <v>522</v>
      </c>
    </row>
    <row r="22" spans="1:8" ht="17">
      <c r="A22" s="158" t="s">
        <v>265</v>
      </c>
      <c r="B22" s="158" t="s">
        <v>523</v>
      </c>
      <c r="C22" s="158" t="s">
        <v>519</v>
      </c>
      <c r="D22" s="158" t="s">
        <v>520</v>
      </c>
      <c r="E22" s="195">
        <v>12000</v>
      </c>
      <c r="F22" s="158" t="s">
        <v>524</v>
      </c>
      <c r="G22" s="158" t="s">
        <v>222</v>
      </c>
      <c r="H22" s="158" t="s">
        <v>525</v>
      </c>
    </row>
    <row r="23" spans="1:8" ht="17">
      <c r="A23" s="158" t="s">
        <v>203</v>
      </c>
      <c r="B23" s="158" t="s">
        <v>526</v>
      </c>
      <c r="C23" s="158" t="s">
        <v>527</v>
      </c>
      <c r="D23" s="158" t="s">
        <v>528</v>
      </c>
      <c r="E23" s="195">
        <v>16600</v>
      </c>
      <c r="F23" s="158" t="s">
        <v>529</v>
      </c>
      <c r="G23" s="158" t="s">
        <v>219</v>
      </c>
      <c r="H23" s="158" t="s">
        <v>530</v>
      </c>
    </row>
    <row r="24" spans="1:8" ht="17">
      <c r="A24" s="158" t="s">
        <v>277</v>
      </c>
      <c r="B24" s="158" t="s">
        <v>531</v>
      </c>
      <c r="C24" s="158" t="s">
        <v>220</v>
      </c>
      <c r="D24" s="158" t="s">
        <v>221</v>
      </c>
      <c r="E24" s="195">
        <v>965</v>
      </c>
      <c r="F24" s="158" t="s">
        <v>532</v>
      </c>
      <c r="G24" s="158" t="s">
        <v>222</v>
      </c>
      <c r="H24" s="158" t="s">
        <v>533</v>
      </c>
    </row>
    <row r="25" spans="1:8" ht="17">
      <c r="A25" s="158" t="s">
        <v>204</v>
      </c>
      <c r="B25" s="158" t="s">
        <v>534</v>
      </c>
      <c r="C25" s="158" t="s">
        <v>223</v>
      </c>
      <c r="D25" s="158" t="s">
        <v>224</v>
      </c>
      <c r="E25" s="195">
        <v>4604</v>
      </c>
      <c r="F25" s="158" t="s">
        <v>535</v>
      </c>
      <c r="G25" s="158" t="s">
        <v>222</v>
      </c>
      <c r="H25" s="158" t="s">
        <v>536</v>
      </c>
    </row>
    <row r="26" spans="1:8" ht="17">
      <c r="A26" s="158" t="s">
        <v>537</v>
      </c>
      <c r="B26" s="158" t="s">
        <v>538</v>
      </c>
      <c r="C26" s="158" t="s">
        <v>539</v>
      </c>
      <c r="D26" s="158" t="s">
        <v>540</v>
      </c>
      <c r="E26" s="195">
        <v>38500</v>
      </c>
      <c r="F26" s="158" t="s">
        <v>541</v>
      </c>
      <c r="G26" s="158" t="s">
        <v>542</v>
      </c>
      <c r="H26" s="158" t="s">
        <v>543</v>
      </c>
    </row>
    <row r="27" spans="1:8" ht="17">
      <c r="A27" s="158" t="s">
        <v>488</v>
      </c>
      <c r="B27" s="158" t="s">
        <v>544</v>
      </c>
      <c r="C27" s="158" t="s">
        <v>539</v>
      </c>
      <c r="D27" s="158" t="s">
        <v>540</v>
      </c>
      <c r="E27" s="195">
        <v>19760</v>
      </c>
      <c r="F27" s="158" t="s">
        <v>545</v>
      </c>
      <c r="G27" s="158" t="s">
        <v>219</v>
      </c>
      <c r="H27" s="158" t="s">
        <v>546</v>
      </c>
    </row>
    <row r="28" spans="1:8" ht="17">
      <c r="A28" s="158" t="s">
        <v>517</v>
      </c>
      <c r="B28" s="158" t="s">
        <v>547</v>
      </c>
      <c r="C28" s="158" t="s">
        <v>548</v>
      </c>
      <c r="D28" s="158" t="s">
        <v>549</v>
      </c>
      <c r="E28" s="195">
        <v>6400</v>
      </c>
      <c r="F28" s="158" t="s">
        <v>550</v>
      </c>
      <c r="G28" s="158" t="s">
        <v>222</v>
      </c>
      <c r="H28" s="158" t="s">
        <v>551</v>
      </c>
    </row>
    <row r="29" spans="1:8" ht="17">
      <c r="E29" s="197">
        <v>464</v>
      </c>
      <c r="G29" s="158" t="s">
        <v>222</v>
      </c>
      <c r="H29" s="198" t="s">
        <v>552</v>
      </c>
    </row>
    <row r="30" spans="1:8" ht="17">
      <c r="E30" s="197">
        <v>16500</v>
      </c>
      <c r="G30" s="158" t="s">
        <v>222</v>
      </c>
      <c r="H30" s="198" t="s">
        <v>553</v>
      </c>
    </row>
    <row r="31" spans="1:8" ht="17">
      <c r="E31" s="197">
        <v>1600</v>
      </c>
      <c r="G31" s="158" t="s">
        <v>222</v>
      </c>
      <c r="H31" s="198" t="s">
        <v>554</v>
      </c>
    </row>
    <row r="32" spans="1:8" ht="17.5" thickBot="1">
      <c r="D32" s="199" t="s">
        <v>199</v>
      </c>
      <c r="E32" s="200">
        <f>SUM(E3:E31)</f>
        <v>353411</v>
      </c>
    </row>
    <row r="33" spans="4:5" ht="17">
      <c r="D33" s="201" t="s">
        <v>222</v>
      </c>
      <c r="E33" s="202">
        <f>SUMIF(G3:G31,D33,E3:E31)</f>
        <v>103733</v>
      </c>
    </row>
    <row r="34" spans="4:5" ht="17">
      <c r="D34" s="203" t="s">
        <v>555</v>
      </c>
      <c r="E34" s="204">
        <f>SUM(E29:E31,E20)</f>
        <v>73764</v>
      </c>
    </row>
    <row r="35" spans="4:5" ht="17.5" thickBot="1">
      <c r="D35" s="205" t="s">
        <v>556</v>
      </c>
      <c r="E35" s="206">
        <f>E33-E34</f>
        <v>29969</v>
      </c>
    </row>
    <row r="36" spans="4:5" ht="17"/>
    <row r="37" spans="4:5" ht="17"/>
    <row r="38" spans="4:5" ht="17"/>
    <row r="39" spans="4:5" ht="17"/>
    <row r="40" spans="4:5" ht="17"/>
    <row r="41" spans="4:5" ht="17"/>
    <row r="42" spans="4:5" ht="17"/>
    <row r="43" spans="4:5" ht="17"/>
    <row r="44" spans="4:5" ht="17"/>
    <row r="45" spans="4:5" ht="17"/>
    <row r="46" spans="4:5" ht="17"/>
    <row r="47" spans="4:5" ht="17"/>
    <row r="48" spans="4:5" ht="17"/>
    <row r="49" ht="17"/>
    <row r="50" ht="17"/>
    <row r="51" ht="17"/>
    <row r="52" ht="17"/>
    <row r="53" ht="17"/>
    <row r="54" ht="17"/>
    <row r="55" ht="17"/>
    <row r="56" ht="17"/>
    <row r="57" ht="17"/>
    <row r="58" ht="17"/>
    <row r="59" ht="17"/>
    <row r="60" ht="17"/>
    <row r="61" ht="17"/>
    <row r="62" ht="17"/>
    <row r="63" ht="17"/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21"/>
  <sheetViews>
    <sheetView topLeftCell="A13" workbookViewId="0">
      <selection activeCell="B20" sqref="B20"/>
    </sheetView>
  </sheetViews>
  <sheetFormatPr defaultRowHeight="17"/>
  <cols>
    <col min="1" max="1" width="21.81640625" bestFit="1" customWidth="1"/>
    <col min="2" max="2" width="21.90625" style="95" bestFit="1" customWidth="1"/>
    <col min="3" max="3" width="2.81640625" customWidth="1"/>
    <col min="4" max="4" width="23.81640625" bestFit="1" customWidth="1"/>
    <col min="5" max="5" width="6.1796875" bestFit="1" customWidth="1"/>
    <col min="6" max="6" width="18.6328125" bestFit="1" customWidth="1"/>
    <col min="7" max="8" width="6.1796875" bestFit="1" customWidth="1"/>
    <col min="9" max="10" width="9.36328125" bestFit="1" customWidth="1"/>
    <col min="11" max="11" width="8.54296875" bestFit="1" customWidth="1"/>
    <col min="12" max="12" width="6.1796875" bestFit="1" customWidth="1"/>
  </cols>
  <sheetData>
    <row r="1" spans="1:2">
      <c r="A1" s="100"/>
      <c r="B1" s="101" t="s">
        <v>57</v>
      </c>
    </row>
    <row r="2" spans="1:2">
      <c r="A2" s="102" t="s">
        <v>54</v>
      </c>
      <c r="B2" s="101">
        <v>4100000</v>
      </c>
    </row>
    <row r="3" spans="1:2">
      <c r="A3" s="94" t="s">
        <v>53</v>
      </c>
      <c r="B3" s="101">
        <v>1088000</v>
      </c>
    </row>
    <row r="4" spans="1:2">
      <c r="A4" s="94" t="s">
        <v>55</v>
      </c>
      <c r="B4" s="101">
        <v>5234900</v>
      </c>
    </row>
    <row r="5" spans="1:2">
      <c r="A5" s="94" t="s">
        <v>52</v>
      </c>
      <c r="B5" s="101">
        <v>3517600</v>
      </c>
    </row>
    <row r="6" spans="1:2">
      <c r="A6" s="94" t="s">
        <v>51</v>
      </c>
      <c r="B6" s="101">
        <v>1590000</v>
      </c>
    </row>
    <row r="7" spans="1:2">
      <c r="A7" s="94" t="s">
        <v>146</v>
      </c>
      <c r="B7" s="101">
        <v>643500</v>
      </c>
    </row>
    <row r="8" spans="1:2">
      <c r="A8" s="94" t="s">
        <v>148</v>
      </c>
      <c r="B8" s="101"/>
    </row>
    <row r="9" spans="1:2" ht="17.5" thickBot="1">
      <c r="A9" s="102" t="s">
        <v>58</v>
      </c>
      <c r="B9" s="101">
        <v>16174000</v>
      </c>
    </row>
    <row r="10" spans="1:2" ht="18" thickTop="1" thickBot="1">
      <c r="A10" s="209" t="s">
        <v>42</v>
      </c>
      <c r="B10" s="210"/>
    </row>
    <row r="11" spans="1:2" ht="17.5" thickTop="1">
      <c r="A11" s="1" t="s">
        <v>81</v>
      </c>
      <c r="B11" s="2" t="s">
        <v>82</v>
      </c>
    </row>
    <row r="12" spans="1:2">
      <c r="A12" s="3" t="s">
        <v>83</v>
      </c>
      <c r="B12" s="2">
        <v>0.05</v>
      </c>
    </row>
    <row r="13" spans="1:2">
      <c r="A13" s="4" t="s">
        <v>44</v>
      </c>
      <c r="B13" s="5">
        <v>0.1</v>
      </c>
    </row>
    <row r="14" spans="1:2">
      <c r="A14" s="4" t="s">
        <v>45</v>
      </c>
      <c r="B14" s="5">
        <v>0.2</v>
      </c>
    </row>
    <row r="15" spans="1:2">
      <c r="A15" s="4" t="s">
        <v>46</v>
      </c>
      <c r="B15" s="5">
        <v>0.4</v>
      </c>
    </row>
    <row r="16" spans="1:2">
      <c r="A16" s="4" t="s">
        <v>47</v>
      </c>
      <c r="B16" s="5">
        <v>0.6</v>
      </c>
    </row>
    <row r="17" spans="1:2">
      <c r="A17" s="4" t="s">
        <v>48</v>
      </c>
      <c r="B17" s="5">
        <v>0.8</v>
      </c>
    </row>
    <row r="18" spans="1:2">
      <c r="A18" s="4" t="s">
        <v>49</v>
      </c>
      <c r="B18" s="5">
        <v>1</v>
      </c>
    </row>
    <row r="19" spans="1:2">
      <c r="A19" s="4" t="s">
        <v>50</v>
      </c>
      <c r="B19" s="5">
        <v>0</v>
      </c>
    </row>
    <row r="20" spans="1:2">
      <c r="A20" s="4" t="s">
        <v>59</v>
      </c>
      <c r="B20" s="5">
        <v>0</v>
      </c>
    </row>
    <row r="21" spans="1:2">
      <c r="A21" s="4" t="s">
        <v>60</v>
      </c>
      <c r="B21" s="5">
        <v>0</v>
      </c>
    </row>
  </sheetData>
  <mergeCells count="1">
    <mergeCell ref="A10:B10"/>
  </mergeCells>
  <phoneticPr fontId="5" type="noConversion"/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4134-AD05-4106-8711-CD9A7C52A6B8}">
  <dimension ref="A5:C95"/>
  <sheetViews>
    <sheetView tabSelected="1" workbookViewId="0"/>
  </sheetViews>
  <sheetFormatPr defaultRowHeight="17"/>
  <cols>
    <col min="1" max="1" width="14.81640625" bestFit="1" customWidth="1"/>
    <col min="2" max="3" width="17.54296875" bestFit="1" customWidth="1"/>
  </cols>
  <sheetData>
    <row r="5" spans="1:3">
      <c r="A5" s="316" t="s">
        <v>565</v>
      </c>
      <c r="B5" t="s">
        <v>566</v>
      </c>
    </row>
    <row r="7" spans="1:3">
      <c r="A7" s="316" t="s">
        <v>567</v>
      </c>
      <c r="B7" t="s">
        <v>613</v>
      </c>
      <c r="C7" t="s">
        <v>614</v>
      </c>
    </row>
    <row r="8" spans="1:3">
      <c r="A8" s="317" t="s">
        <v>568</v>
      </c>
      <c r="B8" s="319">
        <v>34360</v>
      </c>
      <c r="C8" s="319">
        <v>15513</v>
      </c>
    </row>
    <row r="9" spans="1:3">
      <c r="A9" s="318" t="s">
        <v>609</v>
      </c>
      <c r="B9" s="319">
        <v>34360</v>
      </c>
      <c r="C9" s="319">
        <v>15513</v>
      </c>
    </row>
    <row r="10" spans="1:3">
      <c r="A10" s="317" t="s">
        <v>569</v>
      </c>
      <c r="B10" s="319">
        <v>12400</v>
      </c>
      <c r="C10" s="319">
        <v>5430</v>
      </c>
    </row>
    <row r="11" spans="1:3">
      <c r="A11" s="318" t="s">
        <v>609</v>
      </c>
      <c r="B11" s="319">
        <v>12400</v>
      </c>
      <c r="C11" s="319">
        <v>5430</v>
      </c>
    </row>
    <row r="12" spans="1:3">
      <c r="A12" s="317" t="s">
        <v>570</v>
      </c>
      <c r="B12" s="319">
        <v>15000</v>
      </c>
      <c r="C12" s="319">
        <v>15000</v>
      </c>
    </row>
    <row r="13" spans="1:3">
      <c r="A13" s="318" t="s">
        <v>609</v>
      </c>
      <c r="B13" s="319">
        <v>15000</v>
      </c>
      <c r="C13" s="319">
        <v>15000</v>
      </c>
    </row>
    <row r="14" spans="1:3">
      <c r="A14" s="317" t="s">
        <v>571</v>
      </c>
      <c r="B14" s="319">
        <v>11400</v>
      </c>
      <c r="C14" s="319">
        <v>6246</v>
      </c>
    </row>
    <row r="15" spans="1:3">
      <c r="A15" s="318" t="s">
        <v>610</v>
      </c>
      <c r="B15" s="319">
        <v>11400</v>
      </c>
      <c r="C15" s="319">
        <v>6246</v>
      </c>
    </row>
    <row r="16" spans="1:3">
      <c r="A16" s="317" t="s">
        <v>572</v>
      </c>
      <c r="B16" s="319">
        <v>44950</v>
      </c>
      <c r="C16" s="319">
        <v>27346</v>
      </c>
    </row>
    <row r="17" spans="1:3">
      <c r="A17" s="318" t="s">
        <v>610</v>
      </c>
      <c r="B17" s="319">
        <v>44950</v>
      </c>
      <c r="C17" s="319">
        <v>27346</v>
      </c>
    </row>
    <row r="18" spans="1:3">
      <c r="A18" s="317" t="s">
        <v>573</v>
      </c>
      <c r="B18" s="319">
        <v>61100</v>
      </c>
      <c r="C18" s="319">
        <v>36358</v>
      </c>
    </row>
    <row r="19" spans="1:3">
      <c r="A19" s="318" t="s">
        <v>610</v>
      </c>
      <c r="B19" s="319">
        <v>45000</v>
      </c>
      <c r="C19" s="319">
        <v>27342</v>
      </c>
    </row>
    <row r="20" spans="1:3">
      <c r="A20" s="318" t="s">
        <v>609</v>
      </c>
      <c r="B20" s="319">
        <v>16100</v>
      </c>
      <c r="C20" s="319">
        <v>9016</v>
      </c>
    </row>
    <row r="21" spans="1:3">
      <c r="A21" s="317" t="s">
        <v>574</v>
      </c>
      <c r="B21" s="319">
        <v>118240</v>
      </c>
      <c r="C21" s="319">
        <v>88436</v>
      </c>
    </row>
    <row r="22" spans="1:3">
      <c r="A22" s="318" t="s">
        <v>609</v>
      </c>
      <c r="B22" s="319">
        <v>118240</v>
      </c>
      <c r="C22" s="319">
        <v>88436</v>
      </c>
    </row>
    <row r="23" spans="1:3">
      <c r="A23" s="317" t="s">
        <v>575</v>
      </c>
      <c r="B23" s="319">
        <v>166840</v>
      </c>
      <c r="C23" s="319">
        <v>64110</v>
      </c>
    </row>
    <row r="24" spans="1:3">
      <c r="A24" s="318" t="s">
        <v>611</v>
      </c>
      <c r="B24" s="319">
        <v>45240</v>
      </c>
      <c r="C24" s="319">
        <v>20474</v>
      </c>
    </row>
    <row r="25" spans="1:3">
      <c r="A25" s="318" t="s">
        <v>612</v>
      </c>
      <c r="B25" s="319">
        <v>121600</v>
      </c>
      <c r="C25" s="319">
        <v>43636</v>
      </c>
    </row>
    <row r="26" spans="1:3">
      <c r="A26" s="317" t="s">
        <v>576</v>
      </c>
      <c r="B26" s="319">
        <v>3600</v>
      </c>
      <c r="C26" s="319">
        <v>3600</v>
      </c>
    </row>
    <row r="27" spans="1:3">
      <c r="A27" s="318" t="s">
        <v>610</v>
      </c>
      <c r="B27" s="319">
        <v>3600</v>
      </c>
      <c r="C27" s="319">
        <v>3600</v>
      </c>
    </row>
    <row r="28" spans="1:3">
      <c r="A28" s="317" t="s">
        <v>577</v>
      </c>
      <c r="B28" s="319">
        <v>5600</v>
      </c>
      <c r="C28" s="319">
        <v>3112</v>
      </c>
    </row>
    <row r="29" spans="1:3">
      <c r="A29" s="318" t="s">
        <v>610</v>
      </c>
      <c r="B29" s="319">
        <v>5600</v>
      </c>
      <c r="C29" s="319">
        <v>3112</v>
      </c>
    </row>
    <row r="30" spans="1:3">
      <c r="A30" s="317" t="s">
        <v>578</v>
      </c>
      <c r="B30" s="319">
        <v>53000</v>
      </c>
      <c r="C30" s="319">
        <v>41446</v>
      </c>
    </row>
    <row r="31" spans="1:3">
      <c r="A31" s="318" t="s">
        <v>609</v>
      </c>
      <c r="B31" s="319">
        <v>53000</v>
      </c>
      <c r="C31" s="319">
        <v>41446</v>
      </c>
    </row>
    <row r="32" spans="1:3">
      <c r="A32" s="317" t="s">
        <v>579</v>
      </c>
      <c r="B32" s="319">
        <v>4300</v>
      </c>
      <c r="C32" s="319">
        <v>3818</v>
      </c>
    </row>
    <row r="33" spans="1:3">
      <c r="A33" s="318" t="s">
        <v>609</v>
      </c>
      <c r="B33" s="319">
        <v>4300</v>
      </c>
      <c r="C33" s="319">
        <v>3818</v>
      </c>
    </row>
    <row r="34" spans="1:3">
      <c r="A34" s="317" t="s">
        <v>580</v>
      </c>
      <c r="B34" s="319">
        <v>30100</v>
      </c>
      <c r="C34" s="319">
        <v>27729</v>
      </c>
    </row>
    <row r="35" spans="1:3">
      <c r="A35" s="318" t="s">
        <v>609</v>
      </c>
      <c r="B35" s="319">
        <v>30100</v>
      </c>
      <c r="C35" s="319">
        <v>27729</v>
      </c>
    </row>
    <row r="36" spans="1:3">
      <c r="A36" s="317" t="s">
        <v>581</v>
      </c>
      <c r="B36" s="319">
        <v>480000</v>
      </c>
      <c r="C36" s="319">
        <v>200709</v>
      </c>
    </row>
    <row r="37" spans="1:3">
      <c r="A37" s="318" t="s">
        <v>610</v>
      </c>
      <c r="B37" s="319">
        <v>480000</v>
      </c>
      <c r="C37" s="319">
        <v>200709</v>
      </c>
    </row>
    <row r="38" spans="1:3">
      <c r="A38" s="317" t="s">
        <v>582</v>
      </c>
      <c r="B38" s="319">
        <v>198700</v>
      </c>
      <c r="C38" s="319">
        <v>84843</v>
      </c>
    </row>
    <row r="39" spans="1:3">
      <c r="A39" s="318" t="s">
        <v>611</v>
      </c>
      <c r="B39" s="319">
        <v>198700</v>
      </c>
      <c r="C39" s="319">
        <v>84843</v>
      </c>
    </row>
    <row r="40" spans="1:3">
      <c r="A40" s="317" t="s">
        <v>583</v>
      </c>
      <c r="B40" s="319">
        <v>136500</v>
      </c>
      <c r="C40" s="319">
        <v>44930</v>
      </c>
    </row>
    <row r="41" spans="1:3">
      <c r="A41" s="318" t="s">
        <v>612</v>
      </c>
      <c r="B41" s="319">
        <v>136500</v>
      </c>
      <c r="C41" s="319">
        <v>44930</v>
      </c>
    </row>
    <row r="42" spans="1:3">
      <c r="A42" s="317" t="s">
        <v>584</v>
      </c>
      <c r="B42" s="319">
        <v>134230</v>
      </c>
      <c r="C42" s="319">
        <v>107522</v>
      </c>
    </row>
    <row r="43" spans="1:3">
      <c r="A43" s="318" t="s">
        <v>609</v>
      </c>
      <c r="B43" s="319">
        <v>134230</v>
      </c>
      <c r="C43" s="319">
        <v>107522</v>
      </c>
    </row>
    <row r="44" spans="1:3">
      <c r="A44" s="317" t="s">
        <v>585</v>
      </c>
      <c r="B44" s="319">
        <v>25000</v>
      </c>
      <c r="C44" s="319">
        <v>24723</v>
      </c>
    </row>
    <row r="45" spans="1:3">
      <c r="A45" s="318" t="s">
        <v>610</v>
      </c>
      <c r="B45" s="319">
        <v>25000</v>
      </c>
      <c r="C45" s="319">
        <v>24723</v>
      </c>
    </row>
    <row r="46" spans="1:3">
      <c r="A46" s="317" t="s">
        <v>586</v>
      </c>
      <c r="B46" s="319">
        <v>23380</v>
      </c>
      <c r="C46" s="319">
        <v>23380</v>
      </c>
    </row>
    <row r="47" spans="1:3">
      <c r="A47" s="318" t="s">
        <v>610</v>
      </c>
      <c r="B47" s="319">
        <v>23380</v>
      </c>
      <c r="C47" s="319">
        <v>23380</v>
      </c>
    </row>
    <row r="48" spans="1:3">
      <c r="A48" s="317" t="s">
        <v>587</v>
      </c>
      <c r="B48" s="319">
        <v>102800</v>
      </c>
      <c r="C48" s="319">
        <v>63731</v>
      </c>
    </row>
    <row r="49" spans="1:3">
      <c r="A49" s="318" t="s">
        <v>611</v>
      </c>
      <c r="B49" s="319">
        <v>102800</v>
      </c>
      <c r="C49" s="319">
        <v>63731</v>
      </c>
    </row>
    <row r="50" spans="1:3">
      <c r="A50" s="317" t="s">
        <v>588</v>
      </c>
      <c r="B50" s="319">
        <v>12000</v>
      </c>
      <c r="C50" s="319">
        <v>11790</v>
      </c>
    </row>
    <row r="51" spans="1:3">
      <c r="A51" s="318" t="s">
        <v>610</v>
      </c>
      <c r="B51" s="319">
        <v>12000</v>
      </c>
      <c r="C51" s="319">
        <v>11790</v>
      </c>
    </row>
    <row r="52" spans="1:3">
      <c r="A52" s="317" t="s">
        <v>589</v>
      </c>
      <c r="B52" s="319">
        <v>56300</v>
      </c>
      <c r="C52" s="319">
        <v>44172</v>
      </c>
    </row>
    <row r="53" spans="1:3">
      <c r="A53" s="318" t="s">
        <v>609</v>
      </c>
      <c r="B53" s="319">
        <v>56300</v>
      </c>
      <c r="C53" s="319">
        <v>44172</v>
      </c>
    </row>
    <row r="54" spans="1:3">
      <c r="A54" s="317" t="s">
        <v>590</v>
      </c>
      <c r="B54" s="319">
        <v>65700</v>
      </c>
      <c r="C54" s="319">
        <v>37820</v>
      </c>
    </row>
    <row r="55" spans="1:3">
      <c r="A55" s="318" t="s">
        <v>609</v>
      </c>
      <c r="B55" s="319">
        <v>65700</v>
      </c>
      <c r="C55" s="319">
        <v>37820</v>
      </c>
    </row>
    <row r="56" spans="1:3">
      <c r="A56" s="317" t="s">
        <v>591</v>
      </c>
      <c r="B56" s="319">
        <v>44760</v>
      </c>
      <c r="C56" s="319">
        <v>27834</v>
      </c>
    </row>
    <row r="57" spans="1:3">
      <c r="A57" s="318" t="s">
        <v>611</v>
      </c>
      <c r="B57" s="319">
        <v>44760</v>
      </c>
      <c r="C57" s="319">
        <v>27834</v>
      </c>
    </row>
    <row r="58" spans="1:3">
      <c r="A58" s="317" t="s">
        <v>592</v>
      </c>
      <c r="B58" s="319">
        <v>78500</v>
      </c>
      <c r="C58" s="319">
        <v>61112</v>
      </c>
    </row>
    <row r="59" spans="1:3">
      <c r="A59" s="318" t="s">
        <v>609</v>
      </c>
      <c r="B59" s="319">
        <v>78500</v>
      </c>
      <c r="C59" s="319">
        <v>61112</v>
      </c>
    </row>
    <row r="60" spans="1:3">
      <c r="A60" s="317" t="s">
        <v>593</v>
      </c>
      <c r="B60" s="319">
        <v>28500</v>
      </c>
      <c r="C60" s="319">
        <v>26660</v>
      </c>
    </row>
    <row r="61" spans="1:3">
      <c r="A61" s="318" t="s">
        <v>610</v>
      </c>
      <c r="B61" s="319">
        <v>28500</v>
      </c>
      <c r="C61" s="319">
        <v>26660</v>
      </c>
    </row>
    <row r="62" spans="1:3">
      <c r="A62" s="317" t="s">
        <v>594</v>
      </c>
      <c r="B62" s="319">
        <v>122740</v>
      </c>
      <c r="C62" s="319">
        <v>74625</v>
      </c>
    </row>
    <row r="63" spans="1:3">
      <c r="A63" s="318" t="s">
        <v>609</v>
      </c>
      <c r="B63" s="319">
        <v>122740</v>
      </c>
      <c r="C63" s="319">
        <v>74625</v>
      </c>
    </row>
    <row r="64" spans="1:3">
      <c r="A64" s="317" t="s">
        <v>595</v>
      </c>
      <c r="B64" s="319">
        <v>61950</v>
      </c>
      <c r="C64" s="319">
        <v>33317</v>
      </c>
    </row>
    <row r="65" spans="1:3">
      <c r="A65" s="318" t="s">
        <v>611</v>
      </c>
      <c r="B65" s="319">
        <v>42000</v>
      </c>
      <c r="C65" s="319">
        <v>25144</v>
      </c>
    </row>
    <row r="66" spans="1:3">
      <c r="A66" s="318" t="s">
        <v>612</v>
      </c>
      <c r="B66" s="319">
        <v>19950</v>
      </c>
      <c r="C66" s="319">
        <v>8173</v>
      </c>
    </row>
    <row r="67" spans="1:3">
      <c r="A67" s="317" t="s">
        <v>596</v>
      </c>
      <c r="B67" s="319">
        <v>4700</v>
      </c>
      <c r="C67" s="319">
        <v>3708</v>
      </c>
    </row>
    <row r="68" spans="1:3">
      <c r="A68" s="318" t="s">
        <v>610</v>
      </c>
      <c r="B68" s="319">
        <v>4700</v>
      </c>
      <c r="C68" s="319">
        <v>3708</v>
      </c>
    </row>
    <row r="69" spans="1:3">
      <c r="A69" s="317" t="s">
        <v>597</v>
      </c>
      <c r="B69" s="319">
        <v>5500</v>
      </c>
      <c r="C69" s="319">
        <v>5500</v>
      </c>
    </row>
    <row r="70" spans="1:3">
      <c r="A70" s="318" t="s">
        <v>610</v>
      </c>
      <c r="B70" s="319">
        <v>5500</v>
      </c>
      <c r="C70" s="319">
        <v>5500</v>
      </c>
    </row>
    <row r="71" spans="1:3">
      <c r="A71" s="317" t="s">
        <v>598</v>
      </c>
      <c r="B71" s="319">
        <v>22800</v>
      </c>
      <c r="C71" s="319">
        <v>-644</v>
      </c>
    </row>
    <row r="72" spans="1:3">
      <c r="A72" s="318" t="s">
        <v>611</v>
      </c>
      <c r="B72" s="319">
        <v>22800</v>
      </c>
      <c r="C72" s="319">
        <v>-644</v>
      </c>
    </row>
    <row r="73" spans="1:3">
      <c r="A73" s="317" t="s">
        <v>599</v>
      </c>
      <c r="B73" s="319">
        <v>98780</v>
      </c>
      <c r="C73" s="319">
        <v>67591</v>
      </c>
    </row>
    <row r="74" spans="1:3">
      <c r="A74" s="318" t="s">
        <v>609</v>
      </c>
      <c r="B74" s="319">
        <v>98780</v>
      </c>
      <c r="C74" s="319">
        <v>67591</v>
      </c>
    </row>
    <row r="75" spans="1:3">
      <c r="A75" s="317" t="s">
        <v>600</v>
      </c>
      <c r="B75" s="319">
        <v>52520</v>
      </c>
      <c r="C75" s="319">
        <v>42945</v>
      </c>
    </row>
    <row r="76" spans="1:3">
      <c r="A76" s="318" t="s">
        <v>610</v>
      </c>
      <c r="B76" s="319">
        <v>52520</v>
      </c>
      <c r="C76" s="319">
        <v>42945</v>
      </c>
    </row>
    <row r="77" spans="1:3">
      <c r="A77" s="317" t="s">
        <v>601</v>
      </c>
      <c r="B77" s="319">
        <v>200000</v>
      </c>
      <c r="C77" s="319">
        <v>104781</v>
      </c>
    </row>
    <row r="78" spans="1:3">
      <c r="A78" s="318" t="s">
        <v>610</v>
      </c>
      <c r="B78" s="319">
        <v>200000</v>
      </c>
      <c r="C78" s="319">
        <v>104781</v>
      </c>
    </row>
    <row r="79" spans="1:3">
      <c r="A79" s="317" t="s">
        <v>602</v>
      </c>
      <c r="B79" s="319">
        <v>4800</v>
      </c>
      <c r="C79" s="319">
        <v>4800</v>
      </c>
    </row>
    <row r="80" spans="1:3">
      <c r="A80" s="318" t="s">
        <v>610</v>
      </c>
      <c r="B80" s="319">
        <v>4800</v>
      </c>
      <c r="C80" s="319">
        <v>4800</v>
      </c>
    </row>
    <row r="81" spans="1:3">
      <c r="A81" s="317" t="s">
        <v>603</v>
      </c>
      <c r="B81" s="319">
        <v>28300</v>
      </c>
      <c r="C81" s="319">
        <v>28300</v>
      </c>
    </row>
    <row r="82" spans="1:3">
      <c r="A82" s="318" t="s">
        <v>610</v>
      </c>
      <c r="B82" s="319">
        <v>28300</v>
      </c>
      <c r="C82" s="319">
        <v>28300</v>
      </c>
    </row>
    <row r="83" spans="1:3">
      <c r="A83" s="317" t="s">
        <v>604</v>
      </c>
      <c r="B83" s="319">
        <v>1600</v>
      </c>
      <c r="C83" s="319">
        <v>1600</v>
      </c>
    </row>
    <row r="84" spans="1:3">
      <c r="A84" s="318" t="s">
        <v>610</v>
      </c>
      <c r="B84" s="319">
        <v>1600</v>
      </c>
      <c r="C84" s="319">
        <v>1600</v>
      </c>
    </row>
    <row r="85" spans="1:3">
      <c r="A85" s="317" t="s">
        <v>605</v>
      </c>
      <c r="B85" s="319">
        <v>235050</v>
      </c>
      <c r="C85" s="319">
        <v>99424</v>
      </c>
    </row>
    <row r="86" spans="1:3">
      <c r="A86" s="318" t="s">
        <v>611</v>
      </c>
      <c r="B86" s="319">
        <v>235050</v>
      </c>
      <c r="C86" s="319">
        <v>99424</v>
      </c>
    </row>
    <row r="87" spans="1:3">
      <c r="A87" s="317" t="s">
        <v>606</v>
      </c>
      <c r="B87" s="319">
        <v>11000</v>
      </c>
      <c r="C87" s="319">
        <v>6483</v>
      </c>
    </row>
    <row r="88" spans="1:3">
      <c r="A88" s="318" t="s">
        <v>610</v>
      </c>
      <c r="B88" s="319">
        <v>11000</v>
      </c>
      <c r="C88" s="319">
        <v>6483</v>
      </c>
    </row>
    <row r="89" spans="1:3">
      <c r="A89" s="317" t="s">
        <v>528</v>
      </c>
      <c r="B89" s="319">
        <v>20860</v>
      </c>
      <c r="C89" s="319">
        <v>20860</v>
      </c>
    </row>
    <row r="90" spans="1:3">
      <c r="A90" s="318" t="s">
        <v>612</v>
      </c>
      <c r="B90" s="319">
        <v>20860</v>
      </c>
      <c r="C90" s="319">
        <v>20860</v>
      </c>
    </row>
    <row r="91" spans="1:3">
      <c r="A91" s="317" t="s">
        <v>607</v>
      </c>
      <c r="B91" s="319">
        <v>37198</v>
      </c>
      <c r="C91" s="319">
        <v>22188</v>
      </c>
    </row>
    <row r="92" spans="1:3">
      <c r="A92" s="318" t="s">
        <v>611</v>
      </c>
      <c r="B92" s="319">
        <v>37198</v>
      </c>
      <c r="C92" s="319">
        <v>22188</v>
      </c>
    </row>
    <row r="93" spans="1:3">
      <c r="A93" s="317" t="s">
        <v>608</v>
      </c>
      <c r="B93" s="319">
        <v>40100</v>
      </c>
      <c r="C93" s="319">
        <v>24974</v>
      </c>
    </row>
    <row r="94" spans="1:3">
      <c r="A94" s="318" t="s">
        <v>610</v>
      </c>
      <c r="B94" s="319">
        <v>40100</v>
      </c>
      <c r="C94" s="319">
        <v>24974</v>
      </c>
    </row>
    <row r="95" spans="1:3">
      <c r="A95" s="317" t="s">
        <v>58</v>
      </c>
      <c r="B95" s="319">
        <v>2895158</v>
      </c>
      <c r="C95" s="319">
        <v>1637822</v>
      </c>
    </row>
  </sheetData>
  <phoneticPr fontId="5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07月報告</vt:lpstr>
      <vt:lpstr>毛利表</vt:lpstr>
      <vt:lpstr>物料</vt:lpstr>
      <vt:lpstr>銷售漏斗</vt:lpstr>
      <vt:lpstr>樞紐分析與動態篩選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許靜修</cp:lastModifiedBy>
  <cp:lastPrinted>2015-05-01T02:19:06Z</cp:lastPrinted>
  <dcterms:created xsi:type="dcterms:W3CDTF">2003-02-09T04:37:17Z</dcterms:created>
  <dcterms:modified xsi:type="dcterms:W3CDTF">2026-07-29T08:46:10Z</dcterms:modified>
</cp:coreProperties>
</file>